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KD\Documents\"/>
    </mc:Choice>
  </mc:AlternateContent>
  <bookViews>
    <workbookView xWindow="0" yWindow="0" windowWidth="19200" windowHeight="6920"/>
  </bookViews>
  <sheets>
    <sheet name="Sayfa1" sheetId="1" r:id="rId1"/>
  </sheets>
  <externalReferences>
    <externalReference r:id="rId2"/>
  </externalReferences>
  <definedNames>
    <definedName name="I.Disk" localSheetId="0">'[1]ley-11'!$AP$9:$AP$10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F8" i="1"/>
  <c r="G8" i="1" s="1"/>
  <c r="F7" i="1"/>
  <c r="L8" i="1"/>
  <c r="K8" i="1"/>
  <c r="K7" i="1"/>
  <c r="H8" i="1" l="1"/>
  <c r="I8" i="1" s="1"/>
  <c r="G7" i="1"/>
  <c r="H7" i="1" s="1"/>
  <c r="I7" i="1" s="1"/>
</calcChain>
</file>

<file path=xl/sharedStrings.xml><?xml version="1.0" encoding="utf-8"?>
<sst xmlns="http://schemas.openxmlformats.org/spreadsheetml/2006/main" count="14" uniqueCount="13">
  <si>
    <t>Uzaklık cm</t>
  </si>
  <si>
    <t>Disk</t>
  </si>
  <si>
    <t>d-doz</t>
  </si>
  <si>
    <t>bozunma düzelmesi</t>
  </si>
  <si>
    <t>Ölçüm Nic.</t>
  </si>
  <si>
    <t>Referans Değer</t>
  </si>
  <si>
    <t>Birim</t>
  </si>
  <si>
    <t>Ref. Belirsizlik</t>
  </si>
  <si>
    <t>Ölçüm1</t>
  </si>
  <si>
    <t>μ</t>
  </si>
  <si>
    <t>Süre sn</t>
  </si>
  <si>
    <t>Bozunma düzeltmesi</t>
  </si>
  <si>
    <t>Ortam Eşdeğer Doz Hızı - Sv/h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</si>
</sst>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2" fillId="0" borderId="2" xfId="0" applyFont="1" applyBorder="1"/>
    <xf numFmtId="164" fontId="2" fillId="3" borderId="3" xfId="0" applyNumberFormat="1" applyFont="1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/>
    <xf numFmtId="165" fontId="3" fillId="3" borderId="1" xfId="1" applyNumberFormat="1" applyFont="1" applyFill="1" applyBorder="1"/>
    <xf numFmtId="0" fontId="3" fillId="0" borderId="6" xfId="0" applyFont="1" applyBorder="1"/>
    <xf numFmtId="1" fontId="2" fillId="3" borderId="3" xfId="0" applyNumberFormat="1" applyFont="1" applyFill="1" applyBorder="1"/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ngun/Downloads/kalibrasyon-formu-yeni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6"/>
      <sheetName val="135"/>
      <sheetName val="ley-11-1"/>
      <sheetName val="120"/>
      <sheetName val="ada-1"/>
      <sheetName val="ley-11"/>
    </sheetNames>
    <sheetDataSet>
      <sheetData sheetId="0"/>
      <sheetData sheetId="1"/>
      <sheetData sheetId="2"/>
      <sheetData sheetId="3"/>
      <sheetData sheetId="4"/>
      <sheetData sheetId="5">
        <row r="9">
          <cell r="AP9" t="str">
            <v>Evet</v>
          </cell>
        </row>
        <row r="10">
          <cell r="AP10" t="str">
            <v>Hayır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14"/>
  <sheetViews>
    <sheetView tabSelected="1" workbookViewId="0">
      <selection activeCell="E9" sqref="E9"/>
    </sheetView>
  </sheetViews>
  <sheetFormatPr defaultRowHeight="14.5" x14ac:dyDescent="0.35"/>
  <cols>
    <col min="9" max="9" width="11.6328125" customWidth="1"/>
    <col min="18" max="18" width="12" customWidth="1"/>
  </cols>
  <sheetData>
    <row r="2" spans="3:19" ht="25" customHeight="1" x14ac:dyDescent="0.35">
      <c r="R2" s="12" t="s">
        <v>11</v>
      </c>
      <c r="S2">
        <v>0.95</v>
      </c>
    </row>
    <row r="3" spans="3:19" ht="14" customHeight="1" x14ac:dyDescent="0.35"/>
    <row r="6" spans="3:19" ht="46.5" x14ac:dyDescent="0.35">
      <c r="C6" s="1" t="s">
        <v>0</v>
      </c>
      <c r="D6" s="1" t="s">
        <v>10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2" t="s">
        <v>6</v>
      </c>
      <c r="K6" s="2"/>
      <c r="L6" s="1" t="s">
        <v>7</v>
      </c>
      <c r="M6" s="1" t="s">
        <v>8</v>
      </c>
    </row>
    <row r="7" spans="3:19" ht="15.5" x14ac:dyDescent="0.35">
      <c r="C7" s="3">
        <v>150</v>
      </c>
      <c r="D7" s="3">
        <v>60</v>
      </c>
      <c r="E7" s="3">
        <v>0</v>
      </c>
      <c r="F7" s="3">
        <f>IF(C7="","", IF(E7=0,(259000000*(1/C7^2)-12)*D7, IF(E7=1,(259000000*(1/C7^2)-12)/13)*D7))</f>
        <v>689946.66666666663</v>
      </c>
      <c r="G7" s="3">
        <f>F7*$S$2</f>
        <v>655449.33333333326</v>
      </c>
      <c r="H7" s="4">
        <f>IF($P$14 ="Işınlama Doz Hızı - R/h", G7/0.00878, IF($P$14 ="Ortam Eşdeğer Doz Hızı - Sv/h", G7*1.2,  G7))</f>
        <v>786539.19999999984</v>
      </c>
      <c r="I7" s="5">
        <f t="shared" ref="I7:I11" si="0">IF(H7="", "", IF(J7 ="m", H7/1000, IF(J7 ="μ", H7*1,  H7/1000000)))</f>
        <v>786539.19999999984</v>
      </c>
      <c r="J7" s="6" t="s">
        <v>9</v>
      </c>
      <c r="K7" s="7" t="str">
        <f t="shared" ref="K7:K11" si="1">RIGHT($P$14,4)</f>
        <v>Sv/h</v>
      </c>
      <c r="L7" s="8">
        <f>IF($P$14 ="Işınlama Doz Hızı - R/h", 5.4%, IF($P$14 ="Ortam Eşdeğer Doz Hızı - Sv/h", 6.7%, IF($P$14 ="Hava Kerma Hızı - Gy/h", 5.4%,  )))</f>
        <v>6.7000000000000004E-2</v>
      </c>
      <c r="M7" s="9">
        <v>815.6</v>
      </c>
    </row>
    <row r="8" spans="3:19" ht="15.5" x14ac:dyDescent="0.35">
      <c r="C8" s="3">
        <v>150</v>
      </c>
      <c r="D8" s="3">
        <v>60</v>
      </c>
      <c r="E8" s="3">
        <v>1</v>
      </c>
      <c r="F8" s="3">
        <f>IF(C8="","", IF(E8=0,(259000000*(1/C8^2)-12)*D8, IF(E8=1,(259000000*(1/C8^2)-12)/13)*D8))</f>
        <v>53072.820512820515</v>
      </c>
      <c r="G8" s="3">
        <f>F8*$S$2</f>
        <v>50419.179487179485</v>
      </c>
      <c r="H8" s="4">
        <f>IF($P$14 ="Işınlama Doz Hızı - R/h", G8/0.00878, IF($P$14 ="Ortam Eşdeğer Doz Hızı - Sv/h", G8*1.2,  G8))</f>
        <v>60503.015384615377</v>
      </c>
      <c r="I8" s="5">
        <f t="shared" si="0"/>
        <v>60503.015384615377</v>
      </c>
      <c r="J8" s="6" t="s">
        <v>9</v>
      </c>
      <c r="K8" s="7" t="str">
        <f t="shared" si="1"/>
        <v>Sv/h</v>
      </c>
      <c r="L8" s="8">
        <f t="shared" ref="L7:L11" si="2">IF($P$14 ="Işınlama Doz Hızı - R/h", 5.4%, IF($P$14 ="Ortam Eşdeğer Doz Hızı - Sv/h", 6.7%, IF($P$14 ="Hava Kerma Hızı - Gy/h", 5.4%, 6% )))</f>
        <v>6.7000000000000004E-2</v>
      </c>
      <c r="M8" s="9">
        <v>449.4</v>
      </c>
    </row>
    <row r="9" spans="3:19" ht="15.5" x14ac:dyDescent="0.35">
      <c r="C9" s="3"/>
      <c r="D9" s="3"/>
      <c r="E9" s="3"/>
      <c r="F9" s="3"/>
      <c r="G9" s="3"/>
      <c r="H9" s="4"/>
      <c r="I9" s="5"/>
      <c r="J9" s="6"/>
      <c r="K9" s="7"/>
      <c r="L9" s="8"/>
      <c r="M9" s="9"/>
    </row>
    <row r="10" spans="3:19" ht="15.5" x14ac:dyDescent="0.35">
      <c r="C10" s="3"/>
      <c r="D10" s="3"/>
      <c r="E10" s="3"/>
      <c r="F10" s="3"/>
      <c r="G10" s="3"/>
      <c r="H10" s="4"/>
      <c r="I10" s="5"/>
      <c r="J10" s="6"/>
      <c r="K10" s="7"/>
      <c r="L10" s="8"/>
      <c r="M10" s="9"/>
    </row>
    <row r="11" spans="3:19" ht="15.5" x14ac:dyDescent="0.35">
      <c r="C11" s="3"/>
      <c r="D11" s="3"/>
      <c r="E11" s="3"/>
      <c r="F11" s="3"/>
      <c r="G11" s="3"/>
      <c r="H11" s="4"/>
      <c r="I11" s="5"/>
      <c r="J11" s="6"/>
      <c r="K11" s="7"/>
      <c r="L11" s="8"/>
      <c r="M11" s="9"/>
    </row>
    <row r="13" spans="3:19" ht="15.5" x14ac:dyDescent="0.35">
      <c r="C13" s="3"/>
      <c r="D13" s="3"/>
      <c r="E13" s="3"/>
      <c r="F13" s="3"/>
      <c r="G13" s="3"/>
      <c r="H13" s="4"/>
      <c r="I13" s="10"/>
      <c r="J13" s="6"/>
      <c r="K13" s="11"/>
      <c r="L13" s="8"/>
      <c r="M13" s="9"/>
    </row>
    <row r="14" spans="3:19" ht="15.5" x14ac:dyDescent="0.35">
      <c r="C14" s="3"/>
      <c r="D14" s="3"/>
      <c r="E14" s="3"/>
      <c r="F14" s="3"/>
      <c r="G14" s="3"/>
      <c r="H14" s="4"/>
      <c r="I14" s="10"/>
      <c r="J14" s="6"/>
      <c r="K14" s="11"/>
      <c r="L14" s="8"/>
      <c r="M14" s="9"/>
      <c r="P14" t="s">
        <v>12</v>
      </c>
    </row>
  </sheetData>
  <mergeCells count="1">
    <mergeCell ref="J6:K6"/>
  </mergeCells>
  <dataValidations count="1">
    <dataValidation type="list" allowBlank="1" showInputMessage="1" showErrorMessage="1" sqref="J7:J11 J13:J14">
      <formula1>$AO$9:$AO$11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TRKD</dc:creator>
  <cp:lastModifiedBy>TRKD</cp:lastModifiedBy>
  <dcterms:created xsi:type="dcterms:W3CDTF">2024-12-08T14:11:32Z</dcterms:created>
  <dcterms:modified xsi:type="dcterms:W3CDTF">2024-12-08T14:36:31Z</dcterms:modified>
</cp:coreProperties>
</file>