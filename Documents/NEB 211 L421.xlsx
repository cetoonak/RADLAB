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ADLAB\Desktop\"/>
    </mc:Choice>
  </mc:AlternateContent>
  <bookViews>
    <workbookView xWindow="0" yWindow="0" windowWidth="28800" windowHeight="11760"/>
  </bookViews>
  <sheets>
    <sheet name="boş (28)" sheetId="1" r:id="rId1"/>
  </sheets>
  <externalReferences>
    <externalReference r:id="rId2"/>
  </externalReferences>
  <definedNames>
    <definedName name="_120" localSheetId="0">#REF!</definedName>
    <definedName name="_120">#REF!</definedName>
    <definedName name="_xlnm._FilterDatabase" localSheetId="0" hidden="1">'boş (28)'!$E$23:$AG$27</definedName>
    <definedName name="aa" localSheetId="0">'boş (28)'!#REF!</definedName>
    <definedName name="aa">#REF!</definedName>
    <definedName name="I.Disk" localSheetId="0">'boş (28)'!$AP$9:$AP$10</definedName>
    <definedName name="I.Disk">#REF!</definedName>
    <definedName name="öz_ülger_118" localSheetId="0">#REF!</definedName>
    <definedName name="öz_ülger_118">#REF!</definedName>
    <definedName name="_xlnm.Print_Area" localSheetId="0">'boş (28)'!$H$5:$AJ$27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F27" i="1" l="1"/>
  <c r="AE27" i="1"/>
  <c r="AD27" i="1"/>
  <c r="AB27" i="1"/>
  <c r="AC27" i="1" s="1"/>
  <c r="AG27" i="1" s="1"/>
  <c r="Q27" i="1"/>
  <c r="P27" i="1"/>
  <c r="L27" i="1"/>
  <c r="M27" i="1" s="1"/>
  <c r="K27" i="1"/>
  <c r="J27" i="1"/>
  <c r="D27" i="1"/>
  <c r="AE26" i="1"/>
  <c r="AD26" i="1"/>
  <c r="AF26" i="1" s="1"/>
  <c r="AC26" i="1"/>
  <c r="AG26" i="1" s="1"/>
  <c r="AB26" i="1"/>
  <c r="Q26" i="1"/>
  <c r="P26" i="1"/>
  <c r="J26" i="1"/>
  <c r="K26" i="1" s="1"/>
  <c r="L26" i="1" s="1"/>
  <c r="M26" i="1" s="1"/>
  <c r="D26" i="1"/>
  <c r="AE25" i="1"/>
  <c r="AD25" i="1"/>
  <c r="AF25" i="1" s="1"/>
  <c r="AB25" i="1"/>
  <c r="AC25" i="1" s="1"/>
  <c r="Q25" i="1"/>
  <c r="AG25" i="1" s="1"/>
  <c r="P25" i="1"/>
  <c r="J25" i="1"/>
  <c r="K25" i="1" s="1"/>
  <c r="L25" i="1" s="1"/>
  <c r="M25" i="1" s="1"/>
  <c r="D25" i="1"/>
  <c r="AF24" i="1"/>
  <c r="AE24" i="1"/>
  <c r="AD24" i="1"/>
  <c r="AB24" i="1"/>
  <c r="AC24" i="1" s="1"/>
  <c r="AG24" i="1" s="1"/>
  <c r="Q24" i="1"/>
  <c r="P24" i="1"/>
  <c r="K24" i="1"/>
  <c r="L24" i="1" s="1"/>
  <c r="M24" i="1" s="1"/>
  <c r="J24" i="1"/>
  <c r="D24" i="1"/>
  <c r="AO9" i="1"/>
</calcChain>
</file>

<file path=xl/sharedStrings.xml><?xml version="1.0" encoding="utf-8"?>
<sst xmlns="http://schemas.openxmlformats.org/spreadsheetml/2006/main" count="93" uniqueCount="71">
  <si>
    <t>RADLAB İKİNCİL STANDART DOZİMETRİ LABORATUVARI ve RADYASYON ÖLÇÜM SİSTEMLERİ SAN. ve TİC. A.Ş.</t>
  </si>
  <si>
    <t>LK001</t>
  </si>
  <si>
    <t>Kalibrasyon Formu</t>
  </si>
  <si>
    <t>Kalibrasyon Tarihi</t>
  </si>
  <si>
    <t>Ref tarih</t>
  </si>
  <si>
    <t>Bozunma F</t>
  </si>
  <si>
    <t>Cs-137</t>
  </si>
  <si>
    <t>Kair (Gy) = 8.78 × 10-3 X (R)</t>
  </si>
  <si>
    <t>İstek Numarası:</t>
  </si>
  <si>
    <t>Uygun Aralıklar</t>
  </si>
  <si>
    <t>Order No.</t>
  </si>
  <si>
    <t>Basınç hPa</t>
  </si>
  <si>
    <t>860  - 1060 hPa</t>
  </si>
  <si>
    <t>Evet</t>
  </si>
  <si>
    <t>Ortam Eşdeğer Doz Hızı - Sv/h</t>
  </si>
  <si>
    <t>Makine/Cihaz:</t>
  </si>
  <si>
    <t>R.Ölçüm</t>
  </si>
  <si>
    <r>
      <t xml:space="preserve">Sıcaklık </t>
    </r>
    <r>
      <rPr>
        <vertAlign val="superscript"/>
        <sz val="12"/>
        <color theme="1"/>
        <rFont val="Times New Roman"/>
        <family val="1"/>
        <charset val="162"/>
      </rPr>
      <t>o</t>
    </r>
    <r>
      <rPr>
        <sz val="12"/>
        <color theme="1"/>
        <rFont val="Times New Roman"/>
        <family val="1"/>
        <charset val="162"/>
      </rPr>
      <t>C</t>
    </r>
  </si>
  <si>
    <t>17 - 23 °C</t>
  </si>
  <si>
    <t>Hayır</t>
  </si>
  <si>
    <t>Hava Kerma Hızı - Gy/h</t>
  </si>
  <si>
    <t>m</t>
  </si>
  <si>
    <t>Instrument/ Device</t>
  </si>
  <si>
    <t>Nem %</t>
  </si>
  <si>
    <t>% 25 - 75 </t>
  </si>
  <si>
    <t>Işınlama Doz Hızı - R/h</t>
  </si>
  <si>
    <t>μ</t>
  </si>
  <si>
    <t>İmalatçı:</t>
  </si>
  <si>
    <t>TAEK</t>
  </si>
  <si>
    <t>Ortam Eşdeğer Dozu - Sv</t>
  </si>
  <si>
    <t>Manufacturer</t>
  </si>
  <si>
    <t>Hava Kerma - Gy</t>
  </si>
  <si>
    <t>Tip:</t>
  </si>
  <si>
    <t>NEB-211</t>
  </si>
  <si>
    <t>Ölçüm Niceliği</t>
  </si>
  <si>
    <t>Işınlama Dozu - R</t>
  </si>
  <si>
    <t>Type</t>
  </si>
  <si>
    <t>Seri Numarası:</t>
  </si>
  <si>
    <t>L421</t>
  </si>
  <si>
    <t>Serial Number</t>
  </si>
  <si>
    <t>64 çıkart</t>
  </si>
  <si>
    <t>doz</t>
  </si>
  <si>
    <t>disk sayısı</t>
  </si>
  <si>
    <t>uzaklık</t>
  </si>
  <si>
    <t>Uzaklık cm</t>
  </si>
  <si>
    <t>I. Disk</t>
  </si>
  <si>
    <t>II. Disk</t>
  </si>
  <si>
    <t>III. Disk</t>
  </si>
  <si>
    <t>IV. Disk</t>
  </si>
  <si>
    <t>Disk</t>
  </si>
  <si>
    <t>d-doz</t>
  </si>
  <si>
    <t>bozunma düzelmesi</t>
  </si>
  <si>
    <t>Ölçüm Nic.</t>
  </si>
  <si>
    <t>Referans Değer</t>
  </si>
  <si>
    <t>Birim</t>
  </si>
  <si>
    <t>Ref. Belirsizlik</t>
  </si>
  <si>
    <t>Ölçüm1</t>
  </si>
  <si>
    <t>Ölçüm2</t>
  </si>
  <si>
    <t>Ölçüm3</t>
  </si>
  <si>
    <t>Ölçüm4</t>
  </si>
  <si>
    <t>Ölçüm5</t>
  </si>
  <si>
    <t>Ölçüm6</t>
  </si>
  <si>
    <t>Ölçüm7</t>
  </si>
  <si>
    <t>Ölçüm8</t>
  </si>
  <si>
    <t>Ölçüm9</t>
  </si>
  <si>
    <t>Ölçüm10</t>
  </si>
  <si>
    <t>Stsapma</t>
  </si>
  <si>
    <t>Müş. Belirsizlik</t>
  </si>
  <si>
    <t>Müşteri cihazı</t>
  </si>
  <si>
    <t>Sapma %</t>
  </si>
  <si>
    <t>Toplam Belirsizlik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</si>
</sst>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10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  <charset val="162"/>
      <scheme val="minor"/>
    </font>
    <font>
      <b/>
      <sz val="14"/>
      <color rgb="FF2E75B5"/>
      <name val="Calibri"/>
      <family val="2"/>
      <charset val="162"/>
      <scheme val="minor"/>
    </font>
    <font>
      <sz val="11"/>
      <color rgb="FF0070C0"/>
      <name val="Calibri"/>
      <family val="2"/>
      <charset val="162"/>
      <scheme val="minor"/>
    </font>
    <font>
      <sz val="12"/>
      <color theme="1"/>
      <name val="Times New Roman"/>
      <family val="1"/>
      <charset val="162"/>
    </font>
    <font>
      <sz val="12"/>
      <color theme="1"/>
      <name val="Calibri"/>
      <family val="2"/>
      <scheme val="minor"/>
    </font>
    <font>
      <sz val="11"/>
      <color theme="1"/>
      <name val="Times New Roman"/>
      <family val="1"/>
      <charset val="162"/>
    </font>
    <font>
      <vertAlign val="superscript"/>
      <sz val="12"/>
      <color theme="1"/>
      <name val="Times New Roman"/>
      <family val="1"/>
      <charset val="162"/>
    </font>
    <font>
      <sz val="11"/>
      <color theme="1"/>
      <name val="Arial Tu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0070C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70C0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43">
    <xf numFmtId="0" fontId="0" fillId="0" borderId="0" xfId="0"/>
    <xf numFmtId="0" fontId="1" fillId="0" borderId="0" xfId="1"/>
    <xf numFmtId="0" fontId="2" fillId="0" borderId="0" xfId="1" applyFont="1" applyAlignment="1">
      <alignment horizontal="center" vertical="center" wrapText="1"/>
    </xf>
    <xf numFmtId="0" fontId="3" fillId="0" borderId="0" xfId="1" applyFont="1" applyAlignment="1">
      <alignment vertical="center"/>
    </xf>
    <xf numFmtId="0" fontId="1" fillId="0" borderId="1" xfId="1" applyBorder="1"/>
    <xf numFmtId="0" fontId="4" fillId="0" borderId="1" xfId="1" applyFont="1" applyBorder="1" applyAlignment="1">
      <alignment horizontal="center"/>
    </xf>
    <xf numFmtId="0" fontId="4" fillId="0" borderId="0" xfId="1" applyFont="1" applyAlignment="1">
      <alignment horizontal="center" vertical="center"/>
    </xf>
    <xf numFmtId="0" fontId="1" fillId="0" borderId="0" xfId="1" applyAlignment="1">
      <alignment horizontal="center" vertical="center"/>
    </xf>
    <xf numFmtId="0" fontId="5" fillId="0" borderId="0" xfId="1" applyFont="1"/>
    <xf numFmtId="0" fontId="5" fillId="0" borderId="2" xfId="1" applyFont="1" applyBorder="1"/>
    <xf numFmtId="0" fontId="5" fillId="0" borderId="3" xfId="1" applyFont="1" applyBorder="1"/>
    <xf numFmtId="14" fontId="5" fillId="2" borderId="4" xfId="1" applyNumberFormat="1" applyFont="1" applyFill="1" applyBorder="1"/>
    <xf numFmtId="49" fontId="5" fillId="2" borderId="4" xfId="1" applyNumberFormat="1" applyFont="1" applyFill="1" applyBorder="1"/>
    <xf numFmtId="0" fontId="5" fillId="0" borderId="4" xfId="1" applyFont="1" applyBorder="1"/>
    <xf numFmtId="14" fontId="5" fillId="0" borderId="0" xfId="1" applyNumberFormat="1" applyFont="1"/>
    <xf numFmtId="0" fontId="6" fillId="0" borderId="0" xfId="1" applyFont="1"/>
    <xf numFmtId="0" fontId="5" fillId="2" borderId="4" xfId="1" applyFont="1" applyFill="1" applyBorder="1"/>
    <xf numFmtId="0" fontId="7" fillId="0" borderId="0" xfId="1" applyFont="1"/>
    <xf numFmtId="14" fontId="1" fillId="0" borderId="0" xfId="1" applyNumberFormat="1"/>
    <xf numFmtId="0" fontId="9" fillId="0" borderId="0" xfId="1" applyFont="1"/>
    <xf numFmtId="0" fontId="5" fillId="0" borderId="2" xfId="1" applyFont="1" applyBorder="1" applyAlignment="1">
      <alignment horizontal="left"/>
    </xf>
    <xf numFmtId="0" fontId="5" fillId="0" borderId="4" xfId="1" applyFont="1" applyBorder="1" applyAlignment="1">
      <alignment horizontal="left"/>
    </xf>
    <xf numFmtId="0" fontId="5" fillId="2" borderId="2" xfId="1" applyFont="1" applyFill="1" applyBorder="1" applyAlignment="1">
      <alignment horizontal="left"/>
    </xf>
    <xf numFmtId="0" fontId="5" fillId="2" borderId="3" xfId="1" applyFont="1" applyFill="1" applyBorder="1" applyAlignment="1">
      <alignment horizontal="left"/>
    </xf>
    <xf numFmtId="0" fontId="5" fillId="2" borderId="4" xfId="1" applyFont="1" applyFill="1" applyBorder="1" applyAlignment="1">
      <alignment horizontal="left"/>
    </xf>
    <xf numFmtId="0" fontId="5" fillId="0" borderId="0" xfId="1" applyFont="1" applyAlignment="1">
      <alignment horizontal="left"/>
    </xf>
    <xf numFmtId="0" fontId="5" fillId="3" borderId="5" xfId="1" applyFont="1" applyFill="1" applyBorder="1" applyAlignment="1">
      <alignment wrapText="1"/>
    </xf>
    <xf numFmtId="0" fontId="5" fillId="3" borderId="5" xfId="1" applyFont="1" applyFill="1" applyBorder="1" applyAlignment="1" applyProtection="1">
      <alignment wrapText="1"/>
      <protection hidden="1"/>
    </xf>
    <xf numFmtId="0" fontId="5" fillId="3" borderId="5" xfId="1" applyFont="1" applyFill="1" applyBorder="1" applyAlignment="1">
      <alignment horizontal="left" wrapText="1"/>
    </xf>
    <xf numFmtId="0" fontId="5" fillId="3" borderId="5" xfId="1" applyFont="1" applyFill="1" applyBorder="1" applyAlignment="1">
      <alignment vertical="center" wrapText="1"/>
    </xf>
    <xf numFmtId="0" fontId="5" fillId="0" borderId="5" xfId="1" applyFont="1" applyBorder="1"/>
    <xf numFmtId="0" fontId="5" fillId="0" borderId="5" xfId="1" applyFont="1" applyBorder="1" applyProtection="1">
      <protection hidden="1"/>
    </xf>
    <xf numFmtId="2" fontId="5" fillId="2" borderId="6" xfId="1" applyNumberFormat="1" applyFont="1" applyFill="1" applyBorder="1"/>
    <xf numFmtId="0" fontId="5" fillId="2" borderId="7" xfId="1" applyFont="1" applyFill="1" applyBorder="1" applyAlignment="1">
      <alignment horizontal="right"/>
    </xf>
    <xf numFmtId="0" fontId="5" fillId="2" borderId="8" xfId="1" applyFont="1" applyFill="1" applyBorder="1"/>
    <xf numFmtId="164" fontId="6" fillId="2" borderId="5" xfId="2" applyNumberFormat="1" applyFont="1" applyFill="1" applyBorder="1"/>
    <xf numFmtId="0" fontId="6" fillId="0" borderId="4" xfId="1" applyFont="1" applyBorder="1"/>
    <xf numFmtId="0" fontId="6" fillId="0" borderId="5" xfId="1" applyFont="1" applyBorder="1"/>
    <xf numFmtId="0" fontId="6" fillId="0" borderId="5" xfId="0" applyFont="1" applyBorder="1"/>
    <xf numFmtId="164" fontId="6" fillId="0" borderId="5" xfId="2" applyNumberFormat="1" applyFont="1" applyFill="1" applyBorder="1"/>
    <xf numFmtId="2" fontId="5" fillId="2" borderId="5" xfId="1" applyNumberFormat="1" applyFont="1" applyFill="1" applyBorder="1"/>
    <xf numFmtId="0" fontId="5" fillId="2" borderId="5" xfId="1" applyFont="1" applyFill="1" applyBorder="1"/>
    <xf numFmtId="164" fontId="5" fillId="2" borderId="5" xfId="2" applyNumberFormat="1" applyFont="1" applyFill="1" applyBorder="1"/>
  </cellXfs>
  <cellStyles count="3">
    <cellStyle name="Normal" xfId="0" builtinId="0"/>
    <cellStyle name="Normal 2" xfId="1"/>
    <cellStyle name="Yüzde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136769</xdr:colOff>
      <xdr:row>0</xdr:row>
      <xdr:rowOff>162658</xdr:rowOff>
    </xdr:from>
    <xdr:ext cx="1515745" cy="784127"/>
    <xdr:pic>
      <xdr:nvPicPr>
        <xdr:cNvPr id="2" name="image1.jpg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6769" y="162658"/>
          <a:ext cx="1515745" cy="784127"/>
        </a:xfrm>
        <a:prstGeom prst="rect">
          <a:avLst/>
        </a:prstGeom>
        <a:ln/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&#252;&#351;reti%20neb%2021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"/>
      <sheetName val="6"/>
      <sheetName val="21"/>
      <sheetName val="23"/>
      <sheetName val="25"/>
      <sheetName val="26"/>
      <sheetName val="27"/>
      <sheetName val="30"/>
      <sheetName val="51"/>
      <sheetName val="52"/>
      <sheetName val="54"/>
      <sheetName val="60"/>
      <sheetName val="64"/>
      <sheetName val="74"/>
      <sheetName val="136"/>
      <sheetName val="141"/>
      <sheetName val="149"/>
      <sheetName val="150"/>
      <sheetName val="151"/>
      <sheetName val="165"/>
      <sheetName val="166"/>
      <sheetName val="205"/>
      <sheetName val="216"/>
      <sheetName val="218"/>
      <sheetName val="226"/>
      <sheetName val="227"/>
      <sheetName val="228"/>
      <sheetName val="229"/>
      <sheetName val="230"/>
      <sheetName val="231"/>
      <sheetName val="241"/>
      <sheetName val="242"/>
      <sheetName val="251"/>
      <sheetName val="264"/>
      <sheetName val="274"/>
      <sheetName val="281"/>
      <sheetName val="286"/>
      <sheetName val="287"/>
      <sheetName val="288"/>
      <sheetName val="290"/>
      <sheetName val="291"/>
      <sheetName val="292"/>
      <sheetName val="298"/>
      <sheetName val="300"/>
      <sheetName val="311"/>
      <sheetName val="340"/>
      <sheetName val="341"/>
      <sheetName val="345"/>
      <sheetName val="347"/>
      <sheetName val="348"/>
      <sheetName val="349"/>
      <sheetName val="350"/>
      <sheetName val="351"/>
      <sheetName val="353"/>
      <sheetName val="118"/>
      <sheetName val="119"/>
      <sheetName val="125"/>
      <sheetName val="126"/>
      <sheetName val="127"/>
      <sheetName val="128"/>
      <sheetName val="129"/>
      <sheetName val="178"/>
      <sheetName val="244"/>
      <sheetName val="288 (2)"/>
      <sheetName val="117"/>
      <sheetName val="103"/>
      <sheetName val="146"/>
      <sheetName val="124"/>
      <sheetName val="127-24"/>
      <sheetName val="152"/>
      <sheetName val="150-24"/>
      <sheetName val="147"/>
      <sheetName val="boş (8)"/>
      <sheetName val="boş (9)"/>
      <sheetName val="boş (10)"/>
      <sheetName val="boş (11)"/>
      <sheetName val="boş (12)"/>
      <sheetName val="boş (13)"/>
      <sheetName val="boş (14)"/>
      <sheetName val="boş (17)"/>
      <sheetName val="boş (15)"/>
      <sheetName val="boş (16)"/>
      <sheetName val="boş (18)"/>
      <sheetName val="boş (19)"/>
      <sheetName val="boş (20)"/>
      <sheetName val="boş (21)"/>
      <sheetName val="boş (22)"/>
      <sheetName val="boş (23)"/>
      <sheetName val="boş (24)"/>
      <sheetName val="boş (25)"/>
      <sheetName val="boş (26)"/>
      <sheetName val="boş (27)"/>
      <sheetName val="boş (28)"/>
      <sheetName val="boş (29)"/>
      <sheetName val="boş (30)"/>
      <sheetName val="boş (31)"/>
      <sheetName val="boş (32)"/>
      <sheetName val="boş (33)"/>
      <sheetName val="boş (34)"/>
      <sheetName val="boş (35)"/>
      <sheetName val="boş (36)"/>
      <sheetName val="boş (37)"/>
      <sheetName val="boş (38)"/>
      <sheetName val="boş (39)"/>
      <sheetName val="boş (40)"/>
      <sheetName val="boş (41)"/>
      <sheetName val="boş (42)"/>
      <sheetName val="boş (43)"/>
      <sheetName val="boş (44)"/>
      <sheetName val="boş (45)"/>
      <sheetName val="boş (46)"/>
      <sheetName val="boş (47)"/>
      <sheetName val="boş (48)"/>
      <sheetName val="boş (49)"/>
      <sheetName val="boş (50)"/>
      <sheetName val="boş (51)"/>
      <sheetName val="boş (52)"/>
      <sheetName val="boş (53)"/>
      <sheetName val="boş (54)"/>
      <sheetName val="boş (55)"/>
      <sheetName val="boş (58)"/>
      <sheetName val="boş (56)"/>
      <sheetName val="boş (57)"/>
      <sheetName val="boş (59)"/>
      <sheetName val="boş (60)"/>
      <sheetName val="boş (61)"/>
      <sheetName val="boş (62)"/>
      <sheetName val="boş (63)"/>
      <sheetName val="boş (64)"/>
      <sheetName val="boş (65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</sheetDataSet>
  </externalBook>
</externalLink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T27"/>
  <sheetViews>
    <sheetView tabSelected="1" zoomScale="85" zoomScaleNormal="85" zoomScaleSheetLayoutView="110" zoomScalePageLayoutView="130" workbookViewId="0">
      <selection activeCell="N14" sqref="N14"/>
    </sheetView>
  </sheetViews>
  <sheetFormatPr defaultColWidth="9.140625" defaultRowHeight="15" x14ac:dyDescent="0.25"/>
  <cols>
    <col min="1" max="2" width="9.140625" style="1" customWidth="1"/>
    <col min="3" max="3" width="3.5703125" style="1" customWidth="1"/>
    <col min="4" max="4" width="5.5703125" style="1" customWidth="1"/>
    <col min="5" max="7" width="9.140625" style="1" customWidth="1"/>
    <col min="8" max="8" width="11.7109375" style="1" customWidth="1"/>
    <col min="9" max="9" width="6.5703125" style="1" customWidth="1"/>
    <col min="10" max="10" width="9.42578125" style="1" customWidth="1"/>
    <col min="11" max="11" width="6.140625" style="1" customWidth="1"/>
    <col min="12" max="12" width="6.7109375" style="1" customWidth="1"/>
    <col min="13" max="13" width="8.7109375" style="1" customWidth="1"/>
    <col min="14" max="14" width="9.140625" style="1" customWidth="1"/>
    <col min="15" max="15" width="4.28515625" style="1" customWidth="1"/>
    <col min="16" max="16" width="6.42578125" style="1" customWidth="1"/>
    <col min="17" max="17" width="9.5703125" style="1" customWidth="1"/>
    <col min="18" max="18" width="9" style="1" customWidth="1"/>
    <col min="19" max="19" width="8.140625" style="1" customWidth="1"/>
    <col min="20" max="20" width="13.7109375" style="1" customWidth="1"/>
    <col min="21" max="21" width="9.28515625" style="1" bestFit="1" customWidth="1"/>
    <col min="22" max="22" width="8.7109375" style="1" customWidth="1"/>
    <col min="23" max="27" width="8.42578125" style="1" customWidth="1"/>
    <col min="28" max="28" width="9.28515625" style="1" customWidth="1"/>
    <col min="29" max="29" width="9.5703125" style="1" customWidth="1"/>
    <col min="30" max="30" width="10.140625" style="1" customWidth="1"/>
    <col min="31" max="31" width="9.42578125" style="1" customWidth="1"/>
    <col min="32" max="32" width="11.140625" style="1" customWidth="1"/>
    <col min="33" max="33" width="11.85546875" style="1" bestFit="1" customWidth="1"/>
    <col min="34" max="34" width="7" style="1" customWidth="1"/>
    <col min="35" max="35" width="11.5703125" style="1" customWidth="1"/>
    <col min="36" max="36" width="10.5703125" style="1" customWidth="1"/>
    <col min="37" max="39" width="9.140625" style="1"/>
    <col min="40" max="40" width="14.42578125" style="1" customWidth="1"/>
    <col min="41" max="41" width="12.28515625" style="1" customWidth="1"/>
    <col min="42" max="42" width="6.42578125" style="1" customWidth="1"/>
    <col min="43" max="43" width="30.42578125" style="1" customWidth="1"/>
    <col min="44" max="49" width="9.140625" style="1" customWidth="1"/>
    <col min="50" max="16384" width="9.140625" style="1"/>
  </cols>
  <sheetData>
    <row r="2" spans="1:46" ht="44.25" customHeight="1" x14ac:dyDescent="0.25">
      <c r="K2" s="2" t="s">
        <v>0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I2" s="3" t="s">
        <v>1</v>
      </c>
    </row>
    <row r="3" spans="1:46" ht="23.25" customHeight="1" thickBot="1" x14ac:dyDescent="0.3">
      <c r="A3" s="4"/>
      <c r="B3" s="4"/>
      <c r="C3" s="4"/>
      <c r="D3" s="4"/>
      <c r="E3" s="4"/>
      <c r="F3" s="4"/>
      <c r="G3" s="4"/>
      <c r="H3" s="4"/>
      <c r="I3" s="4"/>
      <c r="J3" s="5" t="s">
        <v>2</v>
      </c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4"/>
      <c r="AI3" s="4"/>
      <c r="AJ3" s="4"/>
    </row>
    <row r="4" spans="1:46" x14ac:dyDescent="0.25">
      <c r="J4" s="6"/>
      <c r="K4" s="7"/>
      <c r="L4" s="7"/>
      <c r="M4" s="7"/>
      <c r="N4" s="7"/>
      <c r="O4" s="7"/>
      <c r="P4" s="7"/>
      <c r="Q4" s="7"/>
      <c r="R4" s="7"/>
    </row>
    <row r="7" spans="1:46" ht="15.75" x14ac:dyDescent="0.25">
      <c r="H7" s="8"/>
      <c r="I7" s="8"/>
      <c r="J7" s="8"/>
      <c r="K7" s="8"/>
      <c r="L7" s="8"/>
      <c r="M7" s="8"/>
      <c r="N7" s="8"/>
      <c r="O7" s="8"/>
      <c r="P7" s="8"/>
      <c r="Q7" s="9" t="s">
        <v>3</v>
      </c>
      <c r="R7" s="10"/>
      <c r="S7" s="10"/>
      <c r="T7" s="11">
        <v>45418</v>
      </c>
      <c r="U7" s="8"/>
      <c r="V7" s="8"/>
      <c r="AN7" s="1" t="s">
        <v>4</v>
      </c>
      <c r="AO7" s="1" t="s">
        <v>5</v>
      </c>
      <c r="AS7" s="1" t="s">
        <v>6</v>
      </c>
      <c r="AT7" s="1" t="s">
        <v>7</v>
      </c>
    </row>
    <row r="8" spans="1:46" ht="15.75" x14ac:dyDescent="0.25">
      <c r="H8" s="9" t="s">
        <v>8</v>
      </c>
      <c r="I8" s="10"/>
      <c r="J8" s="12"/>
      <c r="K8" s="13"/>
      <c r="L8" s="8"/>
      <c r="M8" s="8"/>
      <c r="N8" s="8"/>
      <c r="O8" s="8"/>
      <c r="P8" s="8"/>
      <c r="Q8" s="8"/>
      <c r="R8" s="8"/>
      <c r="S8" s="8"/>
      <c r="T8" s="14"/>
      <c r="U8" s="8"/>
      <c r="V8" s="8"/>
      <c r="W8" s="15" t="s">
        <v>9</v>
      </c>
      <c r="X8" s="15"/>
    </row>
    <row r="9" spans="1:46" ht="15.75" x14ac:dyDescent="0.25">
      <c r="H9" s="8" t="s">
        <v>10</v>
      </c>
      <c r="I9" s="8"/>
      <c r="J9" s="8"/>
      <c r="K9" s="8"/>
      <c r="L9" s="8"/>
      <c r="M9" s="8"/>
      <c r="N9" s="8"/>
      <c r="O9" s="8"/>
      <c r="P9" s="8"/>
      <c r="Q9" s="9" t="s">
        <v>11</v>
      </c>
      <c r="R9" s="10"/>
      <c r="S9" s="10"/>
      <c r="T9" s="16">
        <v>921.1</v>
      </c>
      <c r="U9" s="8"/>
      <c r="V9" s="8"/>
      <c r="W9" s="8" t="s">
        <v>12</v>
      </c>
      <c r="X9" s="8"/>
      <c r="Y9" s="17"/>
      <c r="Z9" s="17"/>
      <c r="AA9" s="17"/>
      <c r="AB9" s="17"/>
      <c r="AC9" s="17"/>
      <c r="AD9" s="17"/>
      <c r="AE9" s="17"/>
      <c r="AN9" s="18">
        <v>44742</v>
      </c>
      <c r="AO9" s="1">
        <f>EXP(-0.693*(T7-AN9)/(30.05*365.25))</f>
        <v>0.95821601024233394</v>
      </c>
      <c r="AP9" s="1" t="s">
        <v>13</v>
      </c>
      <c r="AQ9" s="1" t="s">
        <v>14</v>
      </c>
    </row>
    <row r="10" spans="1:46" ht="18.75" x14ac:dyDescent="0.25">
      <c r="H10" s="9" t="s">
        <v>15</v>
      </c>
      <c r="I10" s="10"/>
      <c r="J10" s="16" t="s">
        <v>16</v>
      </c>
      <c r="K10" s="13"/>
      <c r="L10" s="8"/>
      <c r="M10" s="8"/>
      <c r="N10" s="8"/>
      <c r="O10" s="8"/>
      <c r="P10" s="8"/>
      <c r="Q10" s="9" t="s">
        <v>17</v>
      </c>
      <c r="R10" s="10"/>
      <c r="S10" s="10"/>
      <c r="T10" s="16">
        <v>22.5</v>
      </c>
      <c r="U10" s="8"/>
      <c r="V10" s="8"/>
      <c r="W10" s="8" t="s">
        <v>18</v>
      </c>
      <c r="X10" s="8"/>
      <c r="Y10" s="17"/>
      <c r="Z10" s="17"/>
      <c r="AA10" s="17"/>
      <c r="AB10" s="17"/>
      <c r="AC10" s="17"/>
      <c r="AD10" s="17"/>
      <c r="AE10" s="17"/>
      <c r="AP10" s="1" t="s">
        <v>19</v>
      </c>
      <c r="AQ10" s="1" t="s">
        <v>20</v>
      </c>
      <c r="AR10" s="1" t="s">
        <v>21</v>
      </c>
    </row>
    <row r="11" spans="1:46" ht="15.75" x14ac:dyDescent="0.25">
      <c r="H11" s="8" t="s">
        <v>22</v>
      </c>
      <c r="I11" s="8"/>
      <c r="J11" s="8"/>
      <c r="K11" s="8"/>
      <c r="L11" s="8"/>
      <c r="M11" s="8"/>
      <c r="N11" s="8"/>
      <c r="O11" s="8"/>
      <c r="P11" s="8"/>
      <c r="Q11" s="9" t="s">
        <v>23</v>
      </c>
      <c r="R11" s="10"/>
      <c r="S11" s="10"/>
      <c r="T11" s="16">
        <v>64</v>
      </c>
      <c r="U11" s="8"/>
      <c r="V11" s="8"/>
      <c r="W11" s="8" t="s">
        <v>24</v>
      </c>
      <c r="X11" s="8"/>
      <c r="Y11" s="17"/>
      <c r="Z11" s="17"/>
      <c r="AA11" s="17"/>
      <c r="AB11" s="17"/>
      <c r="AC11" s="17"/>
      <c r="AD11" s="17"/>
      <c r="AE11" s="17"/>
      <c r="AQ11" s="1" t="s">
        <v>25</v>
      </c>
      <c r="AR11" s="19" t="s">
        <v>26</v>
      </c>
    </row>
    <row r="12" spans="1:46" ht="15.75" x14ac:dyDescent="0.25">
      <c r="H12" s="9" t="s">
        <v>27</v>
      </c>
      <c r="I12" s="10"/>
      <c r="J12" s="16" t="s">
        <v>28</v>
      </c>
      <c r="K12" s="13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AQ12" s="1" t="s">
        <v>29</v>
      </c>
    </row>
    <row r="13" spans="1:46" ht="15.75" x14ac:dyDescent="0.25">
      <c r="H13" s="8" t="s">
        <v>30</v>
      </c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AQ13" s="1" t="s">
        <v>31</v>
      </c>
    </row>
    <row r="14" spans="1:46" ht="15" customHeight="1" x14ac:dyDescent="0.25">
      <c r="H14" s="9" t="s">
        <v>32</v>
      </c>
      <c r="I14" s="10"/>
      <c r="J14" s="16" t="s">
        <v>33</v>
      </c>
      <c r="K14" s="13"/>
      <c r="L14" s="8"/>
      <c r="M14" s="8"/>
      <c r="N14" s="8"/>
      <c r="O14" s="8"/>
      <c r="P14" s="8"/>
      <c r="Q14" s="20" t="s">
        <v>34</v>
      </c>
      <c r="R14" s="21"/>
      <c r="S14" s="22" t="s">
        <v>25</v>
      </c>
      <c r="T14" s="23"/>
      <c r="U14" s="23"/>
      <c r="V14" s="24"/>
      <c r="AQ14" s="1" t="s">
        <v>35</v>
      </c>
    </row>
    <row r="15" spans="1:46" ht="15" customHeight="1" x14ac:dyDescent="0.25">
      <c r="H15" s="8" t="s">
        <v>36</v>
      </c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</row>
    <row r="16" spans="1:46" ht="15.75" x14ac:dyDescent="0.25">
      <c r="H16" s="9" t="s">
        <v>37</v>
      </c>
      <c r="I16" s="10"/>
      <c r="J16" s="16" t="s">
        <v>38</v>
      </c>
      <c r="K16" s="13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</row>
    <row r="17" spans="2:33" ht="15.75" x14ac:dyDescent="0.25">
      <c r="H17" s="8" t="s">
        <v>39</v>
      </c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</row>
    <row r="18" spans="2:33" ht="15.75" x14ac:dyDescent="0.25"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</row>
    <row r="19" spans="2:33" ht="15.75" x14ac:dyDescent="0.25"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25"/>
      <c r="U19" s="8"/>
      <c r="V19" s="8"/>
    </row>
    <row r="20" spans="2:33" ht="15.75" x14ac:dyDescent="0.25"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</row>
    <row r="21" spans="2:33" ht="15.75" x14ac:dyDescent="0.25"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spans="2:33" ht="12.75" customHeight="1" x14ac:dyDescent="0.25">
      <c r="E22" s="1" t="s">
        <v>40</v>
      </c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</row>
    <row r="23" spans="2:33" ht="39.75" customHeight="1" x14ac:dyDescent="0.25">
      <c r="B23" s="1" t="s">
        <v>41</v>
      </c>
      <c r="C23" s="1" t="s">
        <v>42</v>
      </c>
      <c r="D23" s="1" t="s">
        <v>43</v>
      </c>
      <c r="E23" s="26" t="s">
        <v>44</v>
      </c>
      <c r="F23" s="27" t="s">
        <v>45</v>
      </c>
      <c r="G23" s="27" t="s">
        <v>46</v>
      </c>
      <c r="H23" s="27" t="s">
        <v>47</v>
      </c>
      <c r="I23" s="27" t="s">
        <v>48</v>
      </c>
      <c r="J23" s="26" t="s">
        <v>49</v>
      </c>
      <c r="K23" s="26" t="s">
        <v>50</v>
      </c>
      <c r="L23" s="26" t="s">
        <v>51</v>
      </c>
      <c r="M23" s="26" t="s">
        <v>52</v>
      </c>
      <c r="N23" s="26" t="s">
        <v>53</v>
      </c>
      <c r="O23" s="28" t="s">
        <v>54</v>
      </c>
      <c r="P23" s="28"/>
      <c r="Q23" s="26" t="s">
        <v>55</v>
      </c>
      <c r="R23" s="26" t="s">
        <v>56</v>
      </c>
      <c r="S23" s="26" t="s">
        <v>57</v>
      </c>
      <c r="T23" s="26" t="s">
        <v>58</v>
      </c>
      <c r="U23" s="26" t="s">
        <v>59</v>
      </c>
      <c r="V23" s="26" t="s">
        <v>60</v>
      </c>
      <c r="W23" s="26" t="s">
        <v>61</v>
      </c>
      <c r="X23" s="26" t="s">
        <v>62</v>
      </c>
      <c r="Y23" s="26" t="s">
        <v>63</v>
      </c>
      <c r="Z23" s="26" t="s">
        <v>64</v>
      </c>
      <c r="AA23" s="26" t="s">
        <v>65</v>
      </c>
      <c r="AB23" s="26" t="s">
        <v>66</v>
      </c>
      <c r="AC23" s="29" t="s">
        <v>67</v>
      </c>
      <c r="AD23" s="26" t="s">
        <v>68</v>
      </c>
      <c r="AE23" s="26" t="s">
        <v>54</v>
      </c>
      <c r="AF23" s="26" t="s">
        <v>69</v>
      </c>
      <c r="AG23" s="26" t="s">
        <v>70</v>
      </c>
    </row>
    <row r="24" spans="2:33" ht="15" customHeight="1" x14ac:dyDescent="0.25">
      <c r="B24" s="1">
        <v>5</v>
      </c>
      <c r="C24" s="1">
        <v>4</v>
      </c>
      <c r="D24" s="1">
        <f>SQRT(41196/(B24-0.29))</f>
        <v>93.522707484795504</v>
      </c>
      <c r="E24" s="30">
        <v>152</v>
      </c>
      <c r="F24" s="31" t="s">
        <v>13</v>
      </c>
      <c r="G24" s="31" t="s">
        <v>13</v>
      </c>
      <c r="H24" s="31" t="s">
        <v>13</v>
      </c>
      <c r="I24" s="31" t="s">
        <v>13</v>
      </c>
      <c r="J24" s="30">
        <f t="shared" ref="J24:J27" si="0">COUNTIF(F24:I24, "Evet")</f>
        <v>4</v>
      </c>
      <c r="K24" s="30">
        <f t="shared" ref="K24:K27" si="1">IF(E24="","", IF(J24=0,(285000000*(1/E24^2)-125), IF(J24=1,22000000*(1/E24^2)-12, IF(J24=2, 2000000*(1/E24^2), IF(J24=3, 203401*(1/E24^2) +0.14, IF(J24=4, 41196*(1/E24^2) + 0.29,))))))</f>
        <v>2.073067867036011</v>
      </c>
      <c r="L24" s="30">
        <f t="shared" ref="L24:L27" si="2">K24*$AO$9</f>
        <v>1.9864468205128316</v>
      </c>
      <c r="M24" s="9">
        <f t="shared" ref="M24:M27" si="3">IF($S$14 ="Işınlama Doz Hızı - R/h", L24/0.00878, IF($S$14 ="Ortam Eşdeğer Doz Hızı - Sv/h", L24*1.2,  L24))</f>
        <v>226.2467904912109</v>
      </c>
      <c r="N24" s="32">
        <v>230.4</v>
      </c>
      <c r="O24" s="33" t="s">
        <v>26</v>
      </c>
      <c r="P24" s="34" t="str">
        <f t="shared" ref="P24:P27" si="4">RIGHT($S$14,4)</f>
        <v xml:space="preserve"> R/h</v>
      </c>
      <c r="Q24" s="35">
        <f t="shared" ref="Q24:Q27" si="5">IF($S$14 ="Işınlama Doz Hızı - R/h", 5.4%, IF($S$14 ="Ortam Eşdeğer Doz Hızı - Sv/h", 6.7%, IF($S$14 ="Hava Kerma Hızı - Gy/h", 5.4%, 6% )))</f>
        <v>5.4000000000000006E-2</v>
      </c>
      <c r="R24" s="36">
        <v>230</v>
      </c>
      <c r="S24" s="37">
        <v>230</v>
      </c>
      <c r="T24" s="37">
        <v>230</v>
      </c>
      <c r="U24" s="37">
        <v>230</v>
      </c>
      <c r="V24" s="37">
        <v>230</v>
      </c>
      <c r="W24" s="37">
        <v>230</v>
      </c>
      <c r="X24" s="37">
        <v>230</v>
      </c>
      <c r="Y24" s="37">
        <v>230</v>
      </c>
      <c r="Z24" s="37">
        <v>220</v>
      </c>
      <c r="AA24" s="37">
        <v>220</v>
      </c>
      <c r="AB24" s="38">
        <f t="shared" ref="AB24:AB27" si="6">_xlfn.STDEV.S(R24:AA24)/SQRT(10)</f>
        <v>1.3333333333333333</v>
      </c>
      <c r="AC24" s="39">
        <f t="shared" ref="AC24:AC27" si="7">AB24/AD24</f>
        <v>5.8479532163742687E-3</v>
      </c>
      <c r="AD24" s="40">
        <f t="shared" ref="AD24:AD27" si="8">AVERAGE(R24:AA24)</f>
        <v>228</v>
      </c>
      <c r="AE24" s="41" t="str">
        <f t="shared" ref="AE24:AE27" si="9">CONCATENATE(O24,RIGHT($S$14,4))</f>
        <v>μ R/h</v>
      </c>
      <c r="AF24" s="42">
        <f t="shared" ref="AF24:AF27" si="10">IF(AD24="","",(AD24-N24)/N24)</f>
        <v>-1.041666666666669E-2</v>
      </c>
      <c r="AG24" s="35">
        <f t="shared" ref="AG24:AG27" si="11">SQRT((Q24)^2+(AC24)^2)</f>
        <v>5.4315730288940267E-2</v>
      </c>
    </row>
    <row r="25" spans="2:33" ht="15" customHeight="1" x14ac:dyDescent="0.25">
      <c r="B25" s="1">
        <v>50</v>
      </c>
      <c r="C25" s="1">
        <v>3</v>
      </c>
      <c r="D25" s="1">
        <f>SQRT(203401/(B25-0.14))</f>
        <v>63.870513062200466</v>
      </c>
      <c r="E25" s="30">
        <v>70</v>
      </c>
      <c r="F25" s="31" t="s">
        <v>13</v>
      </c>
      <c r="G25" s="31" t="s">
        <v>13</v>
      </c>
      <c r="H25" s="31" t="s">
        <v>13</v>
      </c>
      <c r="I25" s="31" t="s">
        <v>13</v>
      </c>
      <c r="J25" s="30">
        <f t="shared" si="0"/>
        <v>4</v>
      </c>
      <c r="K25" s="30">
        <f t="shared" si="1"/>
        <v>8.6973469387755102</v>
      </c>
      <c r="L25" s="30">
        <f t="shared" si="2"/>
        <v>8.3339370833668465</v>
      </c>
      <c r="M25" s="9">
        <f t="shared" si="3"/>
        <v>949.19556758164538</v>
      </c>
      <c r="N25" s="32">
        <v>0.97</v>
      </c>
      <c r="O25" s="33" t="s">
        <v>21</v>
      </c>
      <c r="P25" s="34" t="str">
        <f t="shared" si="4"/>
        <v xml:space="preserve"> R/h</v>
      </c>
      <c r="Q25" s="35">
        <f t="shared" si="5"/>
        <v>5.4000000000000006E-2</v>
      </c>
      <c r="R25" s="36">
        <v>0.89</v>
      </c>
      <c r="S25" s="36">
        <v>0.9</v>
      </c>
      <c r="T25" s="36">
        <v>0.9</v>
      </c>
      <c r="U25" s="36">
        <v>0.9</v>
      </c>
      <c r="V25" s="36">
        <v>0.92</v>
      </c>
      <c r="W25" s="36">
        <v>0.91</v>
      </c>
      <c r="X25" s="36">
        <v>0.91</v>
      </c>
      <c r="Y25" s="36">
        <v>0.9</v>
      </c>
      <c r="Z25" s="36">
        <v>0.91</v>
      </c>
      <c r="AA25" s="36">
        <v>0.91</v>
      </c>
      <c r="AB25" s="38">
        <f t="shared" si="6"/>
        <v>2.6874192494328523E-3</v>
      </c>
      <c r="AC25" s="39">
        <f t="shared" si="7"/>
        <v>2.9695240325224885E-3</v>
      </c>
      <c r="AD25" s="40">
        <f t="shared" si="8"/>
        <v>0.90500000000000003</v>
      </c>
      <c r="AE25" s="41" t="str">
        <f t="shared" si="9"/>
        <v>m R/h</v>
      </c>
      <c r="AF25" s="42">
        <f t="shared" si="10"/>
        <v>-6.7010309278350458E-2</v>
      </c>
      <c r="AG25" s="35">
        <f t="shared" si="11"/>
        <v>5.4081587189908999E-2</v>
      </c>
    </row>
    <row r="26" spans="2:33" ht="15" customHeight="1" x14ac:dyDescent="0.25">
      <c r="B26" s="1">
        <v>100</v>
      </c>
      <c r="C26" s="1">
        <v>2</v>
      </c>
      <c r="D26" s="1">
        <f>SQRT(2000000/(B26))</f>
        <v>141.42135623730951</v>
      </c>
      <c r="E26" s="30">
        <v>70</v>
      </c>
      <c r="F26" s="31" t="s">
        <v>13</v>
      </c>
      <c r="G26" s="31" t="s">
        <v>13</v>
      </c>
      <c r="H26" s="31" t="s">
        <v>13</v>
      </c>
      <c r="I26" s="31" t="s">
        <v>19</v>
      </c>
      <c r="J26" s="30">
        <f t="shared" si="0"/>
        <v>3</v>
      </c>
      <c r="K26" s="30">
        <f t="shared" si="1"/>
        <v>41.650408163265311</v>
      </c>
      <c r="L26" s="30">
        <f t="shared" si="2"/>
        <v>39.910087935168825</v>
      </c>
      <c r="M26" s="9">
        <f t="shared" si="3"/>
        <v>4545.5681019554477</v>
      </c>
      <c r="N26" s="32">
        <v>4.5999999999999996</v>
      </c>
      <c r="O26" s="33" t="s">
        <v>21</v>
      </c>
      <c r="P26" s="34" t="str">
        <f t="shared" si="4"/>
        <v xml:space="preserve"> R/h</v>
      </c>
      <c r="Q26" s="35">
        <f t="shared" si="5"/>
        <v>5.4000000000000006E-2</v>
      </c>
      <c r="R26" s="37">
        <v>4.4000000000000004</v>
      </c>
      <c r="S26" s="37">
        <v>4.3</v>
      </c>
      <c r="T26" s="37">
        <v>4.3</v>
      </c>
      <c r="U26" s="37">
        <v>4.4000000000000004</v>
      </c>
      <c r="V26" s="37">
        <v>4.3</v>
      </c>
      <c r="W26" s="37">
        <v>4.4000000000000004</v>
      </c>
      <c r="X26" s="37">
        <v>4.3</v>
      </c>
      <c r="Y26" s="37">
        <v>4.2</v>
      </c>
      <c r="Z26" s="37">
        <v>4.2</v>
      </c>
      <c r="AA26" s="37">
        <v>4.0999999999999996</v>
      </c>
      <c r="AB26" s="38">
        <f>_xlfn.STDEV.S(R26:AA26)/SQRT(10)</f>
        <v>3.1446603773522062E-2</v>
      </c>
      <c r="AC26" s="39">
        <f>AB26/AD26</f>
        <v>7.3302106698186608E-3</v>
      </c>
      <c r="AD26" s="40">
        <f t="shared" si="8"/>
        <v>4.2900000000000009</v>
      </c>
      <c r="AE26" s="41" t="str">
        <f t="shared" si="9"/>
        <v>m R/h</v>
      </c>
      <c r="AF26" s="42">
        <f t="shared" si="10"/>
        <v>-6.7391304347825809E-2</v>
      </c>
      <c r="AG26" s="35">
        <f t="shared" si="11"/>
        <v>5.4495247393363797E-2</v>
      </c>
    </row>
    <row r="27" spans="2:33" ht="15" customHeight="1" x14ac:dyDescent="0.25">
      <c r="B27" s="1">
        <v>500</v>
      </c>
      <c r="C27" s="1">
        <v>1</v>
      </c>
      <c r="D27" s="1">
        <f>SQRT(22000000/(B27+12))</f>
        <v>207.28904939721249</v>
      </c>
      <c r="E27" s="30">
        <v>70</v>
      </c>
      <c r="F27" s="31" t="s">
        <v>13</v>
      </c>
      <c r="G27" s="31" t="s">
        <v>13</v>
      </c>
      <c r="H27" s="31" t="s">
        <v>19</v>
      </c>
      <c r="I27" s="31" t="s">
        <v>19</v>
      </c>
      <c r="J27" s="30">
        <f t="shared" si="0"/>
        <v>2</v>
      </c>
      <c r="K27" s="30">
        <f t="shared" si="1"/>
        <v>408.16326530612247</v>
      </c>
      <c r="L27" s="30">
        <f t="shared" si="2"/>
        <v>391.10857560911592</v>
      </c>
      <c r="M27" s="9">
        <f t="shared" si="3"/>
        <v>44545.395855252384</v>
      </c>
      <c r="N27" s="32">
        <v>45.4</v>
      </c>
      <c r="O27" s="33" t="s">
        <v>21</v>
      </c>
      <c r="P27" s="34" t="str">
        <f t="shared" si="4"/>
        <v xml:space="preserve"> R/h</v>
      </c>
      <c r="Q27" s="35">
        <f t="shared" si="5"/>
        <v>5.4000000000000006E-2</v>
      </c>
      <c r="R27" s="36">
        <v>42</v>
      </c>
      <c r="S27" s="36">
        <v>41</v>
      </c>
      <c r="T27" s="36">
        <v>43</v>
      </c>
      <c r="U27" s="36">
        <v>42</v>
      </c>
      <c r="V27" s="36">
        <v>42</v>
      </c>
      <c r="W27" s="36">
        <v>40</v>
      </c>
      <c r="X27" s="36">
        <v>42</v>
      </c>
      <c r="Y27" s="36">
        <v>43</v>
      </c>
      <c r="Z27" s="36">
        <v>43</v>
      </c>
      <c r="AA27" s="36">
        <v>44</v>
      </c>
      <c r="AB27" s="38">
        <f t="shared" si="6"/>
        <v>0.35901098714230018</v>
      </c>
      <c r="AC27" s="39">
        <f t="shared" si="7"/>
        <v>8.5073693635616156E-3</v>
      </c>
      <c r="AD27" s="40">
        <f t="shared" si="8"/>
        <v>42.2</v>
      </c>
      <c r="AE27" s="41" t="str">
        <f t="shared" si="9"/>
        <v>m R/h</v>
      </c>
      <c r="AF27" s="42">
        <f t="shared" si="10"/>
        <v>-7.0484581497797266E-2</v>
      </c>
      <c r="AG27" s="35">
        <f t="shared" si="11"/>
        <v>5.4666034550606174E-2</v>
      </c>
    </row>
  </sheetData>
  <autoFilter ref="E23:AG27">
    <filterColumn colId="10" showButton="0"/>
  </autoFilter>
  <mergeCells count="5">
    <mergeCell ref="K2:AG2"/>
    <mergeCell ref="J3:AG3"/>
    <mergeCell ref="Q14:R14"/>
    <mergeCell ref="S14:V14"/>
    <mergeCell ref="O23:P23"/>
  </mergeCells>
  <dataValidations count="4">
    <dataValidation type="list" allowBlank="1" showInputMessage="1" showErrorMessage="1" sqref="O24:O27">
      <formula1>$AR$9:$AR$11</formula1>
    </dataValidation>
    <dataValidation type="list" allowBlank="1" showErrorMessage="1" prompt="_x000a_" sqref="F24:I27">
      <formula1>I.Disk</formula1>
    </dataValidation>
    <dataValidation errorStyle="warning" allowBlank="1" showInputMessage="1" showErrorMessage="1" errorTitle="Uygun olmayan aralık" sqref="T9"/>
    <dataValidation type="list" allowBlank="1" showInputMessage="1" showErrorMessage="1" sqref="S14:V14">
      <formula1>$AQ$9:$AQ$11</formula1>
    </dataValidation>
  </dataValidations>
  <pageMargins left="0.25" right="0.25" top="0.75" bottom="0.75" header="0.3" footer="0.3"/>
  <pageSetup paperSize="9" scale="8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2</vt:i4>
      </vt:variant>
    </vt:vector>
  </HeadingPairs>
  <TitlesOfParts>
    <vt:vector size="3" baseType="lpstr">
      <vt:lpstr>boş (28)</vt:lpstr>
      <vt:lpstr>'boş (28)'!I.Disk</vt:lpstr>
      <vt:lpstr>'boş (28)'!Yazdırma_Alanı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RADLAB</dc:creator>
  <cp:lastModifiedBy>RADLAB</cp:lastModifiedBy>
  <dcterms:created xsi:type="dcterms:W3CDTF">2024-06-13T09:35:37Z</dcterms:created>
  <dcterms:modified xsi:type="dcterms:W3CDTF">2024-06-13T09:35:57Z</dcterms:modified>
</cp:coreProperties>
</file>