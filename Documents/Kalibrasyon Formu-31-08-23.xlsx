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RKD\Downloads\"/>
    </mc:Choice>
  </mc:AlternateContent>
  <bookViews>
    <workbookView xWindow="0" yWindow="0" windowWidth="19200" windowHeight="7200"/>
  </bookViews>
  <sheets>
    <sheet name="Sheet1" sheetId="1" r:id="rId1"/>
  </sheets>
  <externalReferences>
    <externalReference r:id="rId2"/>
  </externalReferences>
  <definedNames>
    <definedName name="I.Disk" localSheetId="0">'[1]ley-11'!$AP$9:$AP$10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9" i="1" l="1"/>
  <c r="N30" i="1"/>
  <c r="N31" i="1"/>
  <c r="N32" i="1"/>
  <c r="N33" i="1"/>
  <c r="N24" i="1" l="1"/>
  <c r="AH31" i="1" l="1"/>
  <c r="AH32" i="1"/>
  <c r="AH33" i="1"/>
  <c r="AH30" i="1"/>
  <c r="T31" i="1"/>
  <c r="T32" i="1"/>
  <c r="T33" i="1"/>
  <c r="T30" i="1"/>
  <c r="S31" i="1"/>
  <c r="S32" i="1"/>
  <c r="S33" i="1"/>
  <c r="S30" i="1"/>
  <c r="AG33" i="1"/>
  <c r="AE33" i="1"/>
  <c r="AF33" i="1" s="1"/>
  <c r="AJ33" i="1" s="1"/>
  <c r="AG32" i="1"/>
  <c r="AE32" i="1"/>
  <c r="AF32" i="1" s="1"/>
  <c r="AG31" i="1"/>
  <c r="AE31" i="1"/>
  <c r="AG30" i="1"/>
  <c r="AE30" i="1"/>
  <c r="G24" i="1"/>
  <c r="S24" i="1"/>
  <c r="T24" i="1"/>
  <c r="AE24" i="1"/>
  <c r="AG24" i="1"/>
  <c r="AH24" i="1"/>
  <c r="AH28" i="1"/>
  <c r="AG28" i="1"/>
  <c r="AE28" i="1"/>
  <c r="T28" i="1"/>
  <c r="S28" i="1"/>
  <c r="M28" i="1"/>
  <c r="N28" i="1" s="1"/>
  <c r="G28" i="1"/>
  <c r="AH27" i="1"/>
  <c r="AG27" i="1"/>
  <c r="AE27" i="1"/>
  <c r="T27" i="1"/>
  <c r="S27" i="1"/>
  <c r="M27" i="1"/>
  <c r="N27" i="1" s="1"/>
  <c r="G27" i="1"/>
  <c r="AH26" i="1"/>
  <c r="AG26" i="1"/>
  <c r="AE26" i="1"/>
  <c r="T26" i="1"/>
  <c r="S26" i="1"/>
  <c r="M26" i="1"/>
  <c r="N26" i="1" s="1"/>
  <c r="G26" i="1"/>
  <c r="AH25" i="1"/>
  <c r="AG25" i="1"/>
  <c r="AE25" i="1"/>
  <c r="T25" i="1"/>
  <c r="S25" i="1"/>
  <c r="M25" i="1"/>
  <c r="N25" i="1" s="1"/>
  <c r="G25" i="1"/>
  <c r="H22" i="1"/>
  <c r="H21" i="1"/>
  <c r="O31" i="1" l="1"/>
  <c r="P31" i="1" s="1"/>
  <c r="Q31" i="1" s="1"/>
  <c r="AI31" i="1" s="1"/>
  <c r="O33" i="1"/>
  <c r="P33" i="1" s="1"/>
  <c r="Q33" i="1" s="1"/>
  <c r="AI33" i="1" s="1"/>
  <c r="O32" i="1"/>
  <c r="P32" i="1" s="1"/>
  <c r="Q32" i="1" s="1"/>
  <c r="O30" i="1"/>
  <c r="P30" i="1" s="1"/>
  <c r="Q30" i="1" s="1"/>
  <c r="AI30" i="1" s="1"/>
  <c r="AF30" i="1"/>
  <c r="AJ30" i="1" s="1"/>
  <c r="AJ32" i="1"/>
  <c r="AF28" i="1"/>
  <c r="AJ28" i="1" s="1"/>
  <c r="AF26" i="1"/>
  <c r="AF31" i="1"/>
  <c r="AJ31" i="1" s="1"/>
  <c r="AI32" i="1"/>
  <c r="O24" i="1"/>
  <c r="P24" i="1" s="1"/>
  <c r="Q24" i="1" s="1"/>
  <c r="AI24" i="1" s="1"/>
  <c r="AF24" i="1"/>
  <c r="AJ24" i="1" s="1"/>
  <c r="AF25" i="1"/>
  <c r="AJ25" i="1" s="1"/>
  <c r="AF27" i="1"/>
  <c r="AJ27" i="1" s="1"/>
  <c r="AJ26" i="1"/>
  <c r="O25" i="1"/>
  <c r="P25" i="1" s="1"/>
  <c r="Q25" i="1" s="1"/>
  <c r="AI25" i="1" s="1"/>
  <c r="O26" i="1"/>
  <c r="P26" i="1" s="1"/>
  <c r="Q26" i="1" s="1"/>
  <c r="AI26" i="1" s="1"/>
  <c r="O27" i="1"/>
  <c r="P27" i="1" s="1"/>
  <c r="Q27" i="1" s="1"/>
  <c r="AI27" i="1" s="1"/>
  <c r="O28" i="1"/>
  <c r="P28" i="1" s="1"/>
  <c r="Q28" i="1" s="1"/>
  <c r="AI28" i="1" s="1"/>
</calcChain>
</file>

<file path=xl/sharedStrings.xml><?xml version="1.0" encoding="utf-8"?>
<sst xmlns="http://schemas.openxmlformats.org/spreadsheetml/2006/main" count="119" uniqueCount="70">
  <si>
    <t>RADLAB İKİNCİL STANDART DOZİMETRİ LABORATUVARI ve RADYASYON ÖLÇÜM SİSTEMLERİ SAN. ve TİC. A.Ş.</t>
  </si>
  <si>
    <t>LK001</t>
  </si>
  <si>
    <t>Kalibrasyon Formu</t>
  </si>
  <si>
    <t>Kalibrasyon Tarihi</t>
  </si>
  <si>
    <t>Ref tarih</t>
  </si>
  <si>
    <t>Bozunma F</t>
  </si>
  <si>
    <t>Cs-137</t>
  </si>
  <si>
    <t>Kair (Gy) = 8.78 × 10-3 X (R)</t>
  </si>
  <si>
    <t>İstek Numarası:</t>
  </si>
  <si>
    <t>Uygun Aralıklar</t>
  </si>
  <si>
    <t>Order No.</t>
  </si>
  <si>
    <t>Basınç hPa</t>
  </si>
  <si>
    <t>860  - 1060 hPa</t>
  </si>
  <si>
    <t>Evet</t>
  </si>
  <si>
    <t>Ortam Eşdeğer Doz Hızı - Sv/h</t>
  </si>
  <si>
    <t>Makine/Cihaz:</t>
  </si>
  <si>
    <t>R.Ölçüm</t>
  </si>
  <si>
    <r>
      <t xml:space="preserve">Sıcaklık </t>
    </r>
    <r>
      <rPr>
        <vertAlign val="superscript"/>
        <sz val="12"/>
        <color theme="1"/>
        <rFont val="Times New Roman"/>
        <family val="1"/>
        <charset val="162"/>
      </rPr>
      <t>o</t>
    </r>
    <r>
      <rPr>
        <sz val="12"/>
        <color theme="1"/>
        <rFont val="Times New Roman"/>
        <family val="1"/>
        <charset val="162"/>
      </rPr>
      <t>C</t>
    </r>
  </si>
  <si>
    <t>17 - 23 °C</t>
  </si>
  <si>
    <t>Hayır</t>
  </si>
  <si>
    <t>Hava Kerma Hızı - Gy/h</t>
  </si>
  <si>
    <t>m</t>
  </si>
  <si>
    <t>Instrument/ Device</t>
  </si>
  <si>
    <t>Nem %</t>
  </si>
  <si>
    <t>% 25 - 75 </t>
  </si>
  <si>
    <t>Işınlama Doz Hızı - R/h</t>
  </si>
  <si>
    <t>μ</t>
  </si>
  <si>
    <t>İmalatçı:</t>
  </si>
  <si>
    <t>Ortam Eşdeğer Dozu - Sv</t>
  </si>
  <si>
    <t>Manufacturer</t>
  </si>
  <si>
    <t>Hava Kerma - Gy</t>
  </si>
  <si>
    <t>Tip:</t>
  </si>
  <si>
    <t>Ölçüm Niceliği</t>
  </si>
  <si>
    <t>Işınlama Dozu - R</t>
  </si>
  <si>
    <t>Type</t>
  </si>
  <si>
    <t>Seri Numarası:</t>
  </si>
  <si>
    <t>Serial Number</t>
  </si>
  <si>
    <t>doz</t>
  </si>
  <si>
    <t>disk sayısı</t>
  </si>
  <si>
    <t>uzaklık</t>
  </si>
  <si>
    <t>Uzaklık cm</t>
  </si>
  <si>
    <t>I. Disk</t>
  </si>
  <si>
    <t>II. Disk</t>
  </si>
  <si>
    <t>III. Disk</t>
  </si>
  <si>
    <t>IV. Disk</t>
  </si>
  <si>
    <t>Disk</t>
  </si>
  <si>
    <t>d-doz</t>
  </si>
  <si>
    <t>bozunma düzelmesi</t>
  </si>
  <si>
    <t>Ölçüm Nic.</t>
  </si>
  <si>
    <t>Referans Değer</t>
  </si>
  <si>
    <t>Birim</t>
  </si>
  <si>
    <t>Ref. Belirsizlik</t>
  </si>
  <si>
    <t>Ölçüm1</t>
  </si>
  <si>
    <t>Ölçüm2</t>
  </si>
  <si>
    <t>Ölçüm3</t>
  </si>
  <si>
    <t>Ölçüm4</t>
  </si>
  <si>
    <t>Ölçüm5</t>
  </si>
  <si>
    <t>Ölçüm6</t>
  </si>
  <si>
    <t>Ölçüm7</t>
  </si>
  <si>
    <t>Ölçüm8</t>
  </si>
  <si>
    <t>Ölçüm9</t>
  </si>
  <si>
    <t>Ölçüm10</t>
  </si>
  <si>
    <t>Stsapma</t>
  </si>
  <si>
    <t>Müş. Belirsizlik</t>
  </si>
  <si>
    <t>Müşteri cihazı</t>
  </si>
  <si>
    <t>Sapma %</t>
  </si>
  <si>
    <t>Toplam Belirsizlik</t>
  </si>
  <si>
    <t>Terra P+</t>
  </si>
  <si>
    <t>ECO TEST</t>
  </si>
  <si>
    <t>Süre(sn.)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</si>
</sst>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  <charset val="162"/>
      <scheme val="minor"/>
    </font>
    <font>
      <b/>
      <sz val="14"/>
      <color rgb="FF2E75B5"/>
      <name val="Calibri"/>
      <family val="2"/>
      <charset val="162"/>
      <scheme val="minor"/>
    </font>
    <font>
      <sz val="11"/>
      <color rgb="FF0070C0"/>
      <name val="Calibri"/>
      <family val="2"/>
      <charset val="162"/>
      <scheme val="minor"/>
    </font>
    <font>
      <sz val="12"/>
      <color theme="1"/>
      <name val="Times New Roman"/>
      <family val="1"/>
      <charset val="162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  <charset val="162"/>
    </font>
    <font>
      <vertAlign val="superscript"/>
      <sz val="12"/>
      <color theme="1"/>
      <name val="Times New Roman"/>
      <family val="1"/>
      <charset val="162"/>
    </font>
    <font>
      <sz val="11"/>
      <color theme="1"/>
      <name val="Arial Tu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70C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5" fillId="0" borderId="2" xfId="0" applyFont="1" applyBorder="1"/>
    <xf numFmtId="0" fontId="5" fillId="0" borderId="3" xfId="0" applyFont="1" applyBorder="1"/>
    <xf numFmtId="14" fontId="5" fillId="2" borderId="4" xfId="0" applyNumberFormat="1" applyFont="1" applyFill="1" applyBorder="1"/>
    <xf numFmtId="49" fontId="5" fillId="2" borderId="4" xfId="0" applyNumberFormat="1" applyFont="1" applyFill="1" applyBorder="1"/>
    <xf numFmtId="0" fontId="5" fillId="0" borderId="4" xfId="0" applyFont="1" applyBorder="1"/>
    <xf numFmtId="14" fontId="5" fillId="0" borderId="0" xfId="0" applyNumberFormat="1" applyFont="1"/>
    <xf numFmtId="0" fontId="6" fillId="0" borderId="0" xfId="0" applyFont="1"/>
    <xf numFmtId="0" fontId="5" fillId="2" borderId="4" xfId="0" applyFont="1" applyFill="1" applyBorder="1"/>
    <xf numFmtId="0" fontId="7" fillId="0" borderId="0" xfId="0" applyFont="1"/>
    <xf numFmtId="14" fontId="0" fillId="0" borderId="0" xfId="0" applyNumberFormat="1"/>
    <xf numFmtId="0" fontId="9" fillId="0" borderId="0" xfId="0" applyFont="1"/>
    <xf numFmtId="0" fontId="5" fillId="0" borderId="0" xfId="0" applyFont="1" applyAlignment="1">
      <alignment horizontal="left"/>
    </xf>
    <xf numFmtId="0" fontId="5" fillId="3" borderId="5" xfId="0" applyFont="1" applyFill="1" applyBorder="1" applyAlignment="1">
      <alignment wrapText="1"/>
    </xf>
    <xf numFmtId="0" fontId="5" fillId="3" borderId="5" xfId="0" applyFont="1" applyFill="1" applyBorder="1" applyAlignment="1" applyProtection="1">
      <alignment wrapText="1"/>
      <protection hidden="1"/>
    </xf>
    <xf numFmtId="0" fontId="5" fillId="3" borderId="5" xfId="0" applyFont="1" applyFill="1" applyBorder="1" applyAlignment="1">
      <alignment vertical="center" wrapText="1"/>
    </xf>
    <xf numFmtId="0" fontId="5" fillId="0" borderId="5" xfId="0" applyFont="1" applyBorder="1"/>
    <xf numFmtId="0" fontId="5" fillId="0" borderId="5" xfId="0" applyFont="1" applyBorder="1" applyProtection="1">
      <protection hidden="1"/>
    </xf>
    <xf numFmtId="164" fontId="5" fillId="2" borderId="6" xfId="0" applyNumberFormat="1" applyFont="1" applyFill="1" applyBorder="1"/>
    <xf numFmtId="0" fontId="5" fillId="2" borderId="7" xfId="0" applyFont="1" applyFill="1" applyBorder="1" applyAlignment="1">
      <alignment horizontal="right"/>
    </xf>
    <xf numFmtId="0" fontId="5" fillId="2" borderId="8" xfId="0" applyFont="1" applyFill="1" applyBorder="1"/>
    <xf numFmtId="165" fontId="6" fillId="2" borderId="5" xfId="1" applyNumberFormat="1" applyFont="1" applyFill="1" applyBorder="1"/>
    <xf numFmtId="0" fontId="6" fillId="0" borderId="4" xfId="0" applyFont="1" applyBorder="1"/>
    <xf numFmtId="0" fontId="6" fillId="0" borderId="5" xfId="0" applyFont="1" applyBorder="1"/>
    <xf numFmtId="0" fontId="6" fillId="2" borderId="5" xfId="0" applyFont="1" applyFill="1" applyBorder="1"/>
    <xf numFmtId="164" fontId="5" fillId="2" borderId="5" xfId="0" applyNumberFormat="1" applyFont="1" applyFill="1" applyBorder="1"/>
    <xf numFmtId="0" fontId="5" fillId="2" borderId="5" xfId="0" applyFont="1" applyFill="1" applyBorder="1"/>
    <xf numFmtId="165" fontId="5" fillId="2" borderId="5" xfId="1" applyNumberFormat="1" applyFont="1" applyFill="1" applyBorder="1"/>
    <xf numFmtId="0" fontId="0" fillId="0" borderId="5" xfId="0" applyBorder="1"/>
    <xf numFmtId="1" fontId="5" fillId="2" borderId="6" xfId="0" applyNumberFormat="1" applyFont="1" applyFill="1" applyBorder="1"/>
    <xf numFmtId="0" fontId="5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2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 wrapText="1"/>
    </xf>
    <xf numFmtId="0" fontId="5" fillId="0" borderId="9" xfId="0" applyFont="1" applyBorder="1"/>
    <xf numFmtId="0" fontId="5" fillId="0" borderId="9" xfId="0" applyFont="1" applyBorder="1" applyProtection="1">
      <protection hidden="1"/>
    </xf>
    <xf numFmtId="0" fontId="5" fillId="0" borderId="10" xfId="0" applyFont="1" applyBorder="1"/>
    <xf numFmtId="0" fontId="5" fillId="0" borderId="11" xfId="0" applyFont="1" applyBorder="1"/>
    <xf numFmtId="0" fontId="5" fillId="0" borderId="11" xfId="0" applyFont="1" applyBorder="1" applyProtection="1">
      <protection hidden="1"/>
    </xf>
  </cellXfs>
  <cellStyles count="2">
    <cellStyle name="Normal" xfId="0" builtinId="0"/>
    <cellStyle name="Yüzde" xfId="1" builtinId="5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136769</xdr:colOff>
      <xdr:row>0</xdr:row>
      <xdr:rowOff>162658</xdr:rowOff>
    </xdr:from>
    <xdr:to>
      <xdr:col>6</xdr:col>
      <xdr:colOff>277495</xdr:colOff>
      <xdr:row>8</xdr:row>
      <xdr:rowOff>32385</xdr:rowOff>
    </xdr:to>
    <xdr:pic>
      <xdr:nvPicPr>
        <xdr:cNvPr id="2" name="image1.jpg">
          <a:extLst>
            <a:ext uri="{FF2B5EF4-FFF2-40B4-BE49-F238E27FC236}">
              <a16:creationId xmlns="" xmlns:a16="http://schemas.microsoft.com/office/drawing/2014/main" id="{A3303ECE-6735-426D-A747-0F24BD5C82B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162658"/>
          <a:ext cx="1515745" cy="1393727"/>
        </a:xfrm>
        <a:prstGeom prst="rect">
          <a:avLst/>
        </a:prstGeom>
        <a:ln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ngun/Downloads/kalibrasyon-formu-yeni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36"/>
      <sheetName val="135"/>
      <sheetName val="ley-11-1"/>
      <sheetName val="120"/>
      <sheetName val="ada-1"/>
      <sheetName val="ley-11"/>
    </sheetNames>
    <sheetDataSet>
      <sheetData sheetId="0"/>
      <sheetData sheetId="1"/>
      <sheetData sheetId="2"/>
      <sheetData sheetId="3"/>
      <sheetData sheetId="4"/>
      <sheetData sheetId="5">
        <row r="9">
          <cell r="AP9" t="str">
            <v>Evet</v>
          </cell>
        </row>
        <row r="10">
          <cell r="AP10" t="str">
            <v>Hayır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34"/>
  <sheetViews>
    <sheetView tabSelected="1" topLeftCell="W1" zoomScale="90" workbookViewId="0">
      <selection activeCell="AO9" sqref="AO9"/>
    </sheetView>
  </sheetViews>
  <sheetFormatPr defaultRowHeight="14.5" x14ac:dyDescent="0.35"/>
  <cols>
    <col min="1" max="1" width="9.1796875" hidden="1" customWidth="1"/>
    <col min="2" max="2" width="4.1796875" customWidth="1"/>
    <col min="3" max="3" width="3.54296875" customWidth="1"/>
    <col min="4" max="4" width="5.54296875" customWidth="1"/>
    <col min="5" max="5" width="0.54296875" customWidth="1"/>
    <col min="6" max="6" width="4.7265625" customWidth="1"/>
    <col min="8" max="8" width="11.7265625" customWidth="1"/>
    <col min="9" max="9" width="6.54296875" customWidth="1"/>
    <col min="10" max="10" width="9.453125" customWidth="1"/>
    <col min="11" max="11" width="6.1796875" customWidth="1"/>
    <col min="12" max="12" width="6.7265625" customWidth="1"/>
    <col min="13" max="13" width="4.7265625" customWidth="1"/>
    <col min="15" max="15" width="12" customWidth="1"/>
    <col min="16" max="16" width="11.1796875" customWidth="1"/>
    <col min="17" max="17" width="9.54296875" customWidth="1"/>
    <col min="18" max="18" width="3.81640625" customWidth="1"/>
    <col min="19" max="19" width="5.1796875" customWidth="1"/>
    <col min="20" max="20" width="12" customWidth="1"/>
    <col min="21" max="21" width="9.26953125" bestFit="1" customWidth="1"/>
    <col min="22" max="22" width="8.7265625" customWidth="1"/>
    <col min="23" max="29" width="8.453125" customWidth="1"/>
    <col min="30" max="30" width="10.1796875" customWidth="1"/>
    <col min="31" max="31" width="9.453125" customWidth="1"/>
    <col min="33" max="33" width="9.54296875" customWidth="1"/>
    <col min="34" max="34" width="7" customWidth="1"/>
    <col min="35" max="35" width="11.54296875" customWidth="1"/>
    <col min="36" max="36" width="10.54296875" customWidth="1"/>
    <col min="40" max="40" width="14.453125" customWidth="1"/>
    <col min="41" max="41" width="12.26953125" customWidth="1"/>
    <col min="42" max="42" width="6.453125" customWidth="1"/>
    <col min="43" max="43" width="30.453125" customWidth="1"/>
  </cols>
  <sheetData>
    <row r="2" spans="1:46" ht="18.5" x14ac:dyDescent="0.35">
      <c r="K2" s="36" t="s">
        <v>0</v>
      </c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I2" s="1" t="s">
        <v>1</v>
      </c>
    </row>
    <row r="3" spans="1:46" ht="15" thickBot="1" x14ac:dyDescent="0.4">
      <c r="A3" s="2"/>
      <c r="B3" s="2"/>
      <c r="C3" s="2"/>
      <c r="D3" s="2"/>
      <c r="E3" s="2"/>
      <c r="F3" s="2"/>
      <c r="G3" s="2"/>
      <c r="H3" s="2"/>
      <c r="I3" s="2"/>
      <c r="J3" s="37" t="s">
        <v>2</v>
      </c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2"/>
      <c r="AI3" s="2"/>
      <c r="AJ3" s="2"/>
    </row>
    <row r="4" spans="1:46" x14ac:dyDescent="0.35">
      <c r="J4" s="3"/>
      <c r="K4" s="4"/>
      <c r="L4" s="4"/>
      <c r="M4" s="4"/>
      <c r="N4" s="4"/>
      <c r="O4" s="4"/>
      <c r="P4" s="4"/>
      <c r="Q4" s="4"/>
      <c r="R4" s="4"/>
    </row>
    <row r="7" spans="1:46" ht="15.5" x14ac:dyDescent="0.35">
      <c r="H7" s="5"/>
      <c r="I7" s="5"/>
      <c r="J7" s="5"/>
      <c r="K7" s="5"/>
      <c r="L7" s="5"/>
      <c r="M7" s="5"/>
      <c r="N7" s="5"/>
      <c r="O7" s="5"/>
      <c r="P7" s="5"/>
      <c r="Q7" s="6" t="s">
        <v>3</v>
      </c>
      <c r="R7" s="7"/>
      <c r="S7" s="7"/>
      <c r="T7" s="8">
        <v>45164</v>
      </c>
      <c r="U7" s="5"/>
      <c r="V7" s="5"/>
      <c r="AN7" t="s">
        <v>4</v>
      </c>
      <c r="AO7" t="s">
        <v>5</v>
      </c>
      <c r="AS7" t="s">
        <v>6</v>
      </c>
      <c r="AT7" t="s">
        <v>7</v>
      </c>
    </row>
    <row r="8" spans="1:46" ht="15.5" x14ac:dyDescent="0.35">
      <c r="H8" s="6" t="s">
        <v>8</v>
      </c>
      <c r="I8" s="7"/>
      <c r="J8" s="9"/>
      <c r="K8" s="10"/>
      <c r="L8" s="5"/>
      <c r="M8" s="5"/>
      <c r="N8" s="5"/>
      <c r="O8" s="5"/>
      <c r="P8" s="5"/>
      <c r="Q8" s="5"/>
      <c r="R8" s="5"/>
      <c r="S8" s="5"/>
      <c r="T8" s="11"/>
      <c r="U8" s="5"/>
      <c r="V8" s="5"/>
      <c r="W8" s="12" t="s">
        <v>9</v>
      </c>
      <c r="X8" s="12"/>
    </row>
    <row r="9" spans="1:46" ht="15.5" x14ac:dyDescent="0.35">
      <c r="H9" s="5" t="s">
        <v>10</v>
      </c>
      <c r="I9" s="5"/>
      <c r="J9" s="5"/>
      <c r="K9" s="5"/>
      <c r="L9" s="5"/>
      <c r="M9" s="5"/>
      <c r="N9" s="5"/>
      <c r="O9" s="5"/>
      <c r="P9" s="5"/>
      <c r="Q9" s="6" t="s">
        <v>11</v>
      </c>
      <c r="R9" s="7"/>
      <c r="S9" s="7"/>
      <c r="T9" s="13">
        <v>918.3</v>
      </c>
      <c r="U9" s="5"/>
      <c r="V9" s="5"/>
      <c r="W9" s="5" t="s">
        <v>12</v>
      </c>
      <c r="X9" s="5"/>
      <c r="Y9" s="14"/>
      <c r="Z9" s="14"/>
      <c r="AA9" s="14"/>
      <c r="AB9" s="14"/>
      <c r="AC9" s="14"/>
      <c r="AD9" s="14"/>
      <c r="AE9" s="14"/>
      <c r="AN9" s="15">
        <v>44742</v>
      </c>
      <c r="AO9">
        <f>AH11</f>
        <v>0</v>
      </c>
      <c r="AP9" t="s">
        <v>13</v>
      </c>
      <c r="AQ9" t="s">
        <v>14</v>
      </c>
      <c r="AS9" t="s">
        <v>28</v>
      </c>
    </row>
    <row r="10" spans="1:46" ht="18.5" x14ac:dyDescent="0.35">
      <c r="H10" s="6" t="s">
        <v>15</v>
      </c>
      <c r="I10" s="7"/>
      <c r="J10" s="13" t="s">
        <v>16</v>
      </c>
      <c r="K10" s="10"/>
      <c r="L10" s="5"/>
      <c r="M10" s="5"/>
      <c r="N10" s="5"/>
      <c r="O10" s="5"/>
      <c r="P10" s="5"/>
      <c r="Q10" s="6" t="s">
        <v>17</v>
      </c>
      <c r="R10" s="7"/>
      <c r="S10" s="7"/>
      <c r="T10" s="13">
        <v>22</v>
      </c>
      <c r="U10" s="5"/>
      <c r="V10" s="5"/>
      <c r="W10" s="5" t="s">
        <v>18</v>
      </c>
      <c r="X10" s="5"/>
      <c r="Y10" s="14"/>
      <c r="Z10" s="14"/>
      <c r="AA10" s="14"/>
      <c r="AB10" s="14"/>
      <c r="AC10" s="14"/>
      <c r="AD10" s="14"/>
      <c r="AE10" s="14"/>
      <c r="AP10" t="s">
        <v>19</v>
      </c>
      <c r="AQ10" t="s">
        <v>20</v>
      </c>
      <c r="AR10" t="s">
        <v>21</v>
      </c>
      <c r="AS10" t="s">
        <v>30</v>
      </c>
    </row>
    <row r="11" spans="1:46" ht="15.5" x14ac:dyDescent="0.35">
      <c r="H11" s="5" t="s">
        <v>22</v>
      </c>
      <c r="I11" s="5"/>
      <c r="J11" s="5"/>
      <c r="K11" s="5"/>
      <c r="L11" s="5"/>
      <c r="M11" s="5"/>
      <c r="N11" s="5"/>
      <c r="O11" s="5"/>
      <c r="P11" s="5"/>
      <c r="Q11" s="6" t="s">
        <v>23</v>
      </c>
      <c r="R11" s="7"/>
      <c r="S11" s="7"/>
      <c r="T11" s="13">
        <v>69.8</v>
      </c>
      <c r="U11" s="5"/>
      <c r="V11" s="5"/>
      <c r="W11" s="5" t="s">
        <v>24</v>
      </c>
      <c r="X11" s="5"/>
      <c r="Y11" s="14"/>
      <c r="Z11" s="14"/>
      <c r="AA11" s="14"/>
      <c r="AB11" s="14"/>
      <c r="AC11" s="14"/>
      <c r="AD11" s="14"/>
      <c r="AE11" s="14"/>
      <c r="AQ11" t="s">
        <v>25</v>
      </c>
      <c r="AR11" s="16" t="s">
        <v>26</v>
      </c>
      <c r="AS11" t="s">
        <v>33</v>
      </c>
    </row>
    <row r="12" spans="1:46" ht="15.5" x14ac:dyDescent="0.35">
      <c r="H12" s="6" t="s">
        <v>27</v>
      </c>
      <c r="I12" s="7"/>
      <c r="J12" s="13" t="s">
        <v>68</v>
      </c>
      <c r="K12" s="10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</row>
    <row r="13" spans="1:46" ht="15.5" x14ac:dyDescent="0.35">
      <c r="H13" s="5" t="s">
        <v>29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</row>
    <row r="14" spans="1:46" ht="15.5" x14ac:dyDescent="0.35">
      <c r="H14" s="6" t="s">
        <v>31</v>
      </c>
      <c r="I14" s="7"/>
      <c r="J14" s="13" t="s">
        <v>67</v>
      </c>
      <c r="K14" s="10"/>
      <c r="L14" s="5"/>
      <c r="M14" s="5"/>
      <c r="N14" s="5"/>
      <c r="O14" s="5"/>
      <c r="P14" s="5"/>
      <c r="Q14" s="38" t="s">
        <v>32</v>
      </c>
      <c r="R14" s="39"/>
      <c r="S14" s="40" t="s">
        <v>14</v>
      </c>
      <c r="T14" s="41"/>
      <c r="U14" s="41"/>
      <c r="V14" s="42"/>
      <c r="X14" s="38" t="s">
        <v>32</v>
      </c>
      <c r="Y14" s="39"/>
      <c r="Z14" s="40" t="s">
        <v>28</v>
      </c>
      <c r="AA14" s="41"/>
      <c r="AB14" s="41"/>
      <c r="AC14" s="42"/>
    </row>
    <row r="15" spans="1:46" ht="15.5" x14ac:dyDescent="0.35">
      <c r="H15" s="5" t="s">
        <v>34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</row>
    <row r="16" spans="1:46" ht="15.5" x14ac:dyDescent="0.35">
      <c r="H16" s="6" t="s">
        <v>35</v>
      </c>
      <c r="I16" s="7"/>
      <c r="J16" s="13"/>
      <c r="K16" s="13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</row>
    <row r="17" spans="2:36" ht="15.5" x14ac:dyDescent="0.35">
      <c r="H17" s="5" t="s">
        <v>36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</row>
    <row r="18" spans="2:36" ht="15.5" x14ac:dyDescent="0.35"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</row>
    <row r="19" spans="2:36" ht="15.5" x14ac:dyDescent="0.35"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17"/>
      <c r="U19" s="5"/>
      <c r="V19" s="5"/>
    </row>
    <row r="20" spans="2:36" ht="15.5" x14ac:dyDescent="0.35"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</row>
    <row r="21" spans="2:36" ht="15.5" x14ac:dyDescent="0.35">
      <c r="H21" s="5">
        <f>200-64</f>
        <v>136</v>
      </c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</row>
    <row r="22" spans="2:36" ht="15.5" x14ac:dyDescent="0.35">
      <c r="H22" s="5">
        <f>140-64</f>
        <v>76</v>
      </c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</row>
    <row r="23" spans="2:36" ht="46.5" x14ac:dyDescent="0.35">
      <c r="B23" t="s">
        <v>37</v>
      </c>
      <c r="F23" t="s">
        <v>38</v>
      </c>
      <c r="G23" t="s">
        <v>39</v>
      </c>
      <c r="H23" s="18" t="s">
        <v>40</v>
      </c>
      <c r="I23" s="19" t="s">
        <v>41</v>
      </c>
      <c r="J23" s="19" t="s">
        <v>42</v>
      </c>
      <c r="K23" s="19" t="s">
        <v>43</v>
      </c>
      <c r="L23" s="19" t="s">
        <v>44</v>
      </c>
      <c r="M23" s="18" t="s">
        <v>45</v>
      </c>
      <c r="N23" s="18" t="s">
        <v>46</v>
      </c>
      <c r="O23" s="18" t="s">
        <v>47</v>
      </c>
      <c r="P23" s="18" t="s">
        <v>48</v>
      </c>
      <c r="Q23" s="18" t="s">
        <v>49</v>
      </c>
      <c r="R23" s="43" t="s">
        <v>50</v>
      </c>
      <c r="S23" s="43"/>
      <c r="T23" s="18" t="s">
        <v>51</v>
      </c>
      <c r="U23" s="18" t="s">
        <v>52</v>
      </c>
      <c r="V23" s="18" t="s">
        <v>53</v>
      </c>
      <c r="W23" s="18" t="s">
        <v>54</v>
      </c>
      <c r="X23" s="18" t="s">
        <v>55</v>
      </c>
      <c r="Y23" s="18" t="s">
        <v>56</v>
      </c>
      <c r="Z23" s="18" t="s">
        <v>57</v>
      </c>
      <c r="AA23" s="18" t="s">
        <v>58</v>
      </c>
      <c r="AB23" s="18" t="s">
        <v>59</v>
      </c>
      <c r="AC23" s="18" t="s">
        <v>60</v>
      </c>
      <c r="AD23" s="18" t="s">
        <v>61</v>
      </c>
      <c r="AE23" s="18" t="s">
        <v>62</v>
      </c>
      <c r="AF23" s="20" t="s">
        <v>63</v>
      </c>
      <c r="AG23" s="18" t="s">
        <v>64</v>
      </c>
      <c r="AH23" s="18" t="s">
        <v>50</v>
      </c>
      <c r="AI23" s="18" t="s">
        <v>65</v>
      </c>
      <c r="AJ23" s="18" t="s">
        <v>66</v>
      </c>
    </row>
    <row r="24" spans="2:36" ht="15.5" x14ac:dyDescent="0.35">
      <c r="B24">
        <v>5</v>
      </c>
      <c r="F24">
        <v>4</v>
      </c>
      <c r="G24">
        <f>SQRT(41196/(B24-0.29))</f>
        <v>93.522707484795504</v>
      </c>
      <c r="H24" s="21">
        <v>177.7</v>
      </c>
      <c r="I24" s="22" t="s">
        <v>13</v>
      </c>
      <c r="J24" s="22" t="s">
        <v>19</v>
      </c>
      <c r="K24" s="22" t="s">
        <v>19</v>
      </c>
      <c r="L24" s="22" t="s">
        <v>19</v>
      </c>
      <c r="M24" s="21">
        <v>1</v>
      </c>
      <c r="N24" s="21">
        <f>IF(H24="","", IF(M24=0,(285000000*(1/H24^2)-125), IF(M24=1,22000000*(1/H24^2)-12, IF(M24=2, 2000000*(1/H24^2), IF(M24=3, 203401*(1/H24^2) +0.14, IF(M24=4, 41196*(1/H24^2) + 0.29,))))))</f>
        <v>684.70323197462483</v>
      </c>
      <c r="O24" s="21">
        <f t="shared" ref="O24" si="0">N24*$AO$9</f>
        <v>0</v>
      </c>
      <c r="P24" s="6">
        <f>IF($S$14 ="Işınlama Doz Hızı - R/h", O24/0.00878, IF($S$14 ="Ortam Eşdeğer Doz Hızı - Sv/h", O24*1.2,  O24))</f>
        <v>0</v>
      </c>
      <c r="Q24" s="23">
        <f t="shared" ref="Q24" si="1">IF(P24="", "", IF(R24 ="m", P24/1000, IF(R24 ="μ", P24*1,  P24/1000000)))</f>
        <v>0</v>
      </c>
      <c r="R24" s="24" t="s">
        <v>26</v>
      </c>
      <c r="S24" s="25" t="str">
        <f t="shared" ref="S24:S28" si="2">RIGHT($S$14,4)</f>
        <v>Sv/h</v>
      </c>
      <c r="T24" s="26">
        <f t="shared" ref="T24:T28" si="3">IF($S$14 ="Işınlama Doz Hızı - R/h", 5.4%, IF($S$14 ="Ortam Eşdeğer Doz Hızı - Sv/h", 6.7%, IF($S$14 ="Hava Kerma Hızı - Gy/h", 5.4%, 6% )))</f>
        <v>6.7000000000000004E-2</v>
      </c>
      <c r="U24" s="27">
        <v>815.6</v>
      </c>
      <c r="V24" s="28">
        <v>819.6</v>
      </c>
      <c r="W24" s="28">
        <v>813.5</v>
      </c>
      <c r="X24" s="28">
        <v>828.8</v>
      </c>
      <c r="Y24" s="28">
        <v>836.5</v>
      </c>
      <c r="Z24" s="28">
        <v>816.1</v>
      </c>
      <c r="AA24" s="28">
        <v>812.7</v>
      </c>
      <c r="AB24" s="28">
        <v>813.2</v>
      </c>
      <c r="AC24" s="28">
        <v>825.4</v>
      </c>
      <c r="AD24" s="28">
        <v>823.8</v>
      </c>
      <c r="AE24" s="29">
        <f t="shared" ref="AE24" si="4">_xlfn.STDEV.S(U24:AD24)/SQRT(10)</f>
        <v>2.5101925556950073</v>
      </c>
      <c r="AF24" s="26">
        <f t="shared" ref="AF24" si="5">AE24/AG24</f>
        <v>3.059270408637215E-3</v>
      </c>
      <c r="AG24" s="30">
        <f t="shared" ref="AG24" si="6">AVERAGE(U24:AD24)</f>
        <v>820.51999999999987</v>
      </c>
      <c r="AH24" s="31" t="str">
        <f t="shared" ref="AH24" si="7">CONCATENATE(R24,RIGHT($S$14,4))</f>
        <v>μSv/h</v>
      </c>
      <c r="AI24" s="32" t="e">
        <f>IF(AG24="","",(AG24-Q24)/Q24)</f>
        <v>#DIV/0!</v>
      </c>
      <c r="AJ24" s="26">
        <f t="shared" ref="AJ24" si="8">SQRT((T24)^2+(AF24)^2)</f>
        <v>6.7069807927510605E-2</v>
      </c>
    </row>
    <row r="25" spans="2:36" ht="15.5" x14ac:dyDescent="0.35">
      <c r="B25">
        <v>5</v>
      </c>
      <c r="F25">
        <v>4</v>
      </c>
      <c r="G25">
        <f>SQRT(41196/(B25-0.29))</f>
        <v>93.522707484795504</v>
      </c>
      <c r="H25" s="21">
        <v>249.17</v>
      </c>
      <c r="I25" s="22" t="s">
        <v>13</v>
      </c>
      <c r="J25" s="22" t="s">
        <v>19</v>
      </c>
      <c r="K25" s="22" t="s">
        <v>19</v>
      </c>
      <c r="L25" s="22" t="s">
        <v>19</v>
      </c>
      <c r="M25" s="21">
        <f>COUNTIF(I25:L25, "Evet")</f>
        <v>1</v>
      </c>
      <c r="N25" s="21">
        <f>IF(H25="","", IF(M25=0,(285000000*(1/H25^2)-125), IF(M25=1,22000000*(1/H25^2)-12, IF(M25=2, 2000000*(1/H25^2), IF(M25=3, 203401*(1/H25^2) +0.14, IF(M25=4, 41196*(1/H25^2) + 0.29,))))))</f>
        <v>342.3489713939536</v>
      </c>
      <c r="O25" s="21">
        <f t="shared" ref="O25:O28" si="9">N25*$AO$9</f>
        <v>0</v>
      </c>
      <c r="P25" s="6">
        <f>IF($S$14 ="Işınlama Doz Hızı - R/h", O25/0.00878, IF($S$14 ="Ortam Eşdeğer Doz Hızı - Sv/h", O25*1.2,  O25))</f>
        <v>0</v>
      </c>
      <c r="Q25" s="23">
        <f t="shared" ref="Q25:Q28" si="10">IF(P25="", "", IF(R25 ="m", P25/1000, IF(R25 ="μ", P25*1,  P25/1000000)))</f>
        <v>0</v>
      </c>
      <c r="R25" s="24" t="s">
        <v>26</v>
      </c>
      <c r="S25" s="25" t="str">
        <f t="shared" si="2"/>
        <v>Sv/h</v>
      </c>
      <c r="T25" s="26">
        <f t="shared" si="3"/>
        <v>6.7000000000000004E-2</v>
      </c>
      <c r="U25" s="27">
        <v>449.4</v>
      </c>
      <c r="V25" s="28">
        <v>451.9</v>
      </c>
      <c r="W25" s="28">
        <v>415.3</v>
      </c>
      <c r="X25" s="28">
        <v>416.9</v>
      </c>
      <c r="Y25" s="28">
        <v>432.5</v>
      </c>
      <c r="Z25" s="28">
        <v>415.7</v>
      </c>
      <c r="AA25" s="28">
        <v>436.1</v>
      </c>
      <c r="AB25" s="28">
        <v>438.7</v>
      </c>
      <c r="AC25" s="28">
        <v>423.9</v>
      </c>
      <c r="AD25" s="28">
        <v>422.4</v>
      </c>
      <c r="AE25" s="29">
        <f t="shared" ref="AE25:AE28" si="11">_xlfn.STDEV.S(U25:AD25)/SQRT(10)</f>
        <v>4.2966343417454853</v>
      </c>
      <c r="AF25" s="26">
        <f t="shared" ref="AF25:AF28" si="12">AE25/AG25</f>
        <v>9.9856705906514048E-3</v>
      </c>
      <c r="AG25" s="30">
        <f t="shared" ref="AG25:AG28" si="13">AVERAGE(U25:AD25)</f>
        <v>430.27999999999992</v>
      </c>
      <c r="AH25" s="31" t="str">
        <f t="shared" ref="AH25:AH28" si="14">CONCATENATE(R25,RIGHT($S$14,4))</f>
        <v>μSv/h</v>
      </c>
      <c r="AI25" s="32" t="e">
        <f t="shared" ref="AI25:AI28" si="15">IF(AG25="","",(AG25-Q25)/Q25)</f>
        <v>#DIV/0!</v>
      </c>
      <c r="AJ25" s="26">
        <f t="shared" ref="AJ25:AJ28" si="16">SQRT((T25)^2+(AF25)^2)</f>
        <v>6.7740044413515124E-2</v>
      </c>
    </row>
    <row r="26" spans="2:36" ht="15.5" x14ac:dyDescent="0.35">
      <c r="B26">
        <v>50</v>
      </c>
      <c r="F26">
        <v>3</v>
      </c>
      <c r="G26">
        <f>SQRT(203401/(B26-0.14))</f>
        <v>63.870513062200466</v>
      </c>
      <c r="H26" s="21">
        <v>152.9</v>
      </c>
      <c r="I26" s="22" t="s">
        <v>13</v>
      </c>
      <c r="J26" s="22" t="s">
        <v>13</v>
      </c>
      <c r="K26" s="22" t="s">
        <v>19</v>
      </c>
      <c r="L26" s="22" t="s">
        <v>19</v>
      </c>
      <c r="M26" s="21">
        <f>COUNTIF(I26:L26, "Evet")</f>
        <v>2</v>
      </c>
      <c r="N26" s="21">
        <f>IF(H26="","", IF(M26=0,(285000000*(1/H26^2)-125), IF(M26=1,22000000*(1/H26^2)-12, IF(M26=2, 2000000*(1/H26^2), IF(M26=3, 203401*(1/H26^2) +0.14, IF(M26=4, 41196*(1/H26^2) + 0.29,))))))</f>
        <v>85.549017234277258</v>
      </c>
      <c r="O26" s="21">
        <f t="shared" si="9"/>
        <v>0</v>
      </c>
      <c r="P26" s="6">
        <f t="shared" ref="P26:P28" si="17">IF($S$14 ="Işınlama Doz Hızı - R/h", O26/0.00878, IF($S$14 ="Ortam Eşdeğer Doz Hızı - Sv/h", O26*1.2,  O26))</f>
        <v>0</v>
      </c>
      <c r="Q26" s="23">
        <f t="shared" si="10"/>
        <v>0</v>
      </c>
      <c r="R26" s="24" t="s">
        <v>26</v>
      </c>
      <c r="S26" s="25" t="str">
        <f t="shared" si="2"/>
        <v>Sv/h</v>
      </c>
      <c r="T26" s="26">
        <f t="shared" si="3"/>
        <v>6.7000000000000004E-2</v>
      </c>
      <c r="U26" s="27">
        <v>105.2</v>
      </c>
      <c r="V26" s="27">
        <v>106.7</v>
      </c>
      <c r="W26" s="27">
        <v>102.9</v>
      </c>
      <c r="X26" s="27">
        <v>103.6</v>
      </c>
      <c r="Y26" s="27">
        <v>98.15</v>
      </c>
      <c r="Z26" s="27">
        <v>100.9</v>
      </c>
      <c r="AA26" s="27">
        <v>106.5</v>
      </c>
      <c r="AB26" s="27">
        <v>102.9</v>
      </c>
      <c r="AC26" s="27">
        <v>106.7</v>
      </c>
      <c r="AD26" s="27">
        <v>115.2</v>
      </c>
      <c r="AE26" s="29">
        <f t="shared" si="11"/>
        <v>1.4393912679401044</v>
      </c>
      <c r="AF26" s="26">
        <f t="shared" si="12"/>
        <v>1.3724827346270363E-2</v>
      </c>
      <c r="AG26" s="30">
        <f t="shared" si="13"/>
        <v>104.875</v>
      </c>
      <c r="AH26" s="31" t="str">
        <f t="shared" si="14"/>
        <v>μSv/h</v>
      </c>
      <c r="AI26" s="32" t="e">
        <f t="shared" si="15"/>
        <v>#DIV/0!</v>
      </c>
      <c r="AJ26" s="26">
        <f t="shared" si="16"/>
        <v>6.8391307091507855E-2</v>
      </c>
    </row>
    <row r="27" spans="2:36" ht="15.5" x14ac:dyDescent="0.35">
      <c r="B27">
        <v>100</v>
      </c>
      <c r="F27">
        <v>2</v>
      </c>
      <c r="G27">
        <f>SQRT(2000000/(B27))</f>
        <v>141.42135623730951</v>
      </c>
      <c r="H27" s="21">
        <v>241.8</v>
      </c>
      <c r="I27" s="22" t="s">
        <v>13</v>
      </c>
      <c r="J27" s="22" t="s">
        <v>13</v>
      </c>
      <c r="K27" s="22" t="s">
        <v>19</v>
      </c>
      <c r="L27" s="22" t="s">
        <v>19</v>
      </c>
      <c r="M27" s="21">
        <f>COUNTIF(I27:L27, "Evet")</f>
        <v>2</v>
      </c>
      <c r="N27" s="21">
        <f>IF(H27="","", IF(M27=0,(285000000*(1/H27^2)-125), IF(M27=1,22000000*(1/H27^2)-12, IF(M27=2, 2000000*(1/H27^2), IF(M27=3, 203401*(1/H27^2) +0.14, IF(M27=4, 41196*(1/H27^2) + 0.29,))))))</f>
        <v>34.207190214554331</v>
      </c>
      <c r="O27" s="21">
        <f t="shared" si="9"/>
        <v>0</v>
      </c>
      <c r="P27" s="6">
        <f t="shared" si="17"/>
        <v>0</v>
      </c>
      <c r="Q27" s="23">
        <f t="shared" si="10"/>
        <v>0</v>
      </c>
      <c r="R27" s="24" t="s">
        <v>26</v>
      </c>
      <c r="S27" s="25" t="str">
        <f t="shared" si="2"/>
        <v>Sv/h</v>
      </c>
      <c r="T27" s="26">
        <f t="shared" si="3"/>
        <v>6.7000000000000004E-2</v>
      </c>
      <c r="U27" s="27">
        <v>38.51</v>
      </c>
      <c r="V27" s="27">
        <v>38.01</v>
      </c>
      <c r="W27" s="27">
        <v>37.57</v>
      </c>
      <c r="X27" s="27">
        <v>38.53</v>
      </c>
      <c r="Y27" s="27">
        <v>40.61</v>
      </c>
      <c r="Z27" s="27">
        <v>41.68</v>
      </c>
      <c r="AA27" s="27">
        <v>39.54</v>
      </c>
      <c r="AB27" s="27">
        <v>40.630000000000003</v>
      </c>
      <c r="AC27" s="27">
        <v>46.18</v>
      </c>
      <c r="AD27" s="27">
        <v>42.3</v>
      </c>
      <c r="AE27" s="29">
        <f t="shared" si="11"/>
        <v>0.81829117338783774</v>
      </c>
      <c r="AF27" s="26">
        <f t="shared" si="12"/>
        <v>2.0276815675186778E-2</v>
      </c>
      <c r="AG27" s="30">
        <f t="shared" si="13"/>
        <v>40.356000000000009</v>
      </c>
      <c r="AH27" s="31" t="str">
        <f t="shared" si="14"/>
        <v>μSv/h</v>
      </c>
      <c r="AI27" s="32" t="e">
        <f t="shared" si="15"/>
        <v>#DIV/0!</v>
      </c>
      <c r="AJ27" s="26">
        <f t="shared" si="16"/>
        <v>7.0001066091349637E-2</v>
      </c>
    </row>
    <row r="28" spans="2:36" ht="15.5" x14ac:dyDescent="0.35">
      <c r="B28">
        <v>400</v>
      </c>
      <c r="F28">
        <v>1</v>
      </c>
      <c r="G28">
        <f>SQRT(22000000/(B28+12))</f>
        <v>231.08019874586222</v>
      </c>
      <c r="H28" s="21">
        <v>249</v>
      </c>
      <c r="I28" s="22" t="s">
        <v>13</v>
      </c>
      <c r="J28" s="22" t="s">
        <v>13</v>
      </c>
      <c r="K28" s="22" t="s">
        <v>13</v>
      </c>
      <c r="L28" s="22" t="s">
        <v>19</v>
      </c>
      <c r="M28" s="21">
        <f>COUNTIF(I28:L28, "Evet")</f>
        <v>3</v>
      </c>
      <c r="N28" s="21">
        <f>IF(H28="","", IF(M28=0,(285000000*(1/H28^2)-125), IF(M28=1,22000000*(1/H28^2)-12, IF(M28=2, 2000000*(1/H28^2), IF(M28=3, 203401*(1/H28^2) +0.14, IF(M28=4, 41196*(1/H28^2) + 0.29,))))))</f>
        <v>3.4206083772842373</v>
      </c>
      <c r="O28" s="21">
        <f t="shared" si="9"/>
        <v>0</v>
      </c>
      <c r="P28" s="6">
        <f t="shared" si="17"/>
        <v>0</v>
      </c>
      <c r="Q28" s="23">
        <f t="shared" si="10"/>
        <v>0</v>
      </c>
      <c r="R28" s="24" t="s">
        <v>26</v>
      </c>
      <c r="S28" s="25" t="str">
        <f t="shared" si="2"/>
        <v>Sv/h</v>
      </c>
      <c r="T28" s="26">
        <f t="shared" si="3"/>
        <v>6.7000000000000004E-2</v>
      </c>
      <c r="U28" s="27">
        <v>4.8099999999999996</v>
      </c>
      <c r="V28" s="27">
        <v>4.13</v>
      </c>
      <c r="W28" s="27">
        <v>4.04</v>
      </c>
      <c r="X28" s="27">
        <v>4.18</v>
      </c>
      <c r="Y28" s="27">
        <v>4.3499999999999996</v>
      </c>
      <c r="Z28" s="27">
        <v>4.21</v>
      </c>
      <c r="AA28" s="27">
        <v>4.26</v>
      </c>
      <c r="AB28" s="27">
        <v>4.28</v>
      </c>
      <c r="AC28" s="27">
        <v>4.08</v>
      </c>
      <c r="AD28" s="27">
        <v>3.87</v>
      </c>
      <c r="AE28" s="29">
        <f t="shared" si="11"/>
        <v>7.8492037812761567E-2</v>
      </c>
      <c r="AF28" s="26">
        <f t="shared" si="12"/>
        <v>1.8595602419512337E-2</v>
      </c>
      <c r="AG28" s="30">
        <f t="shared" si="13"/>
        <v>4.2209999999999992</v>
      </c>
      <c r="AH28" s="31" t="str">
        <f t="shared" si="14"/>
        <v>μSv/h</v>
      </c>
      <c r="AI28" s="32" t="e">
        <f t="shared" si="15"/>
        <v>#DIV/0!</v>
      </c>
      <c r="AJ28" s="26">
        <f t="shared" si="16"/>
        <v>6.9532700431844105E-2</v>
      </c>
    </row>
    <row r="29" spans="2:36" ht="29" customHeight="1" x14ac:dyDescent="0.35">
      <c r="G29" t="s">
        <v>69</v>
      </c>
    </row>
    <row r="30" spans="2:36" ht="15.5" x14ac:dyDescent="0.35">
      <c r="G30" s="33">
        <v>12</v>
      </c>
      <c r="H30" s="21">
        <v>100</v>
      </c>
      <c r="I30" s="22" t="s">
        <v>13</v>
      </c>
      <c r="J30" s="22" t="s">
        <v>19</v>
      </c>
      <c r="K30" s="22" t="s">
        <v>19</v>
      </c>
      <c r="L30" s="22" t="s">
        <v>19</v>
      </c>
      <c r="M30" s="21">
        <v>0</v>
      </c>
      <c r="N30" s="21">
        <f t="shared" ref="N30:N33" si="18">IF(H30="","", IF(M30=0,(156000000*(1/H30^2)-125), ))/3600*G30</f>
        <v>51.583333333333329</v>
      </c>
      <c r="O30" s="21">
        <f t="shared" ref="O30:O33" si="19">N30*$AO$9</f>
        <v>0</v>
      </c>
      <c r="P30" s="6">
        <f t="shared" ref="P30:P33" si="20">IF($S$14 ="Işınlama Doz Hızı - R/h", O30/0.00878, IF($S$14 ="Ortam Eşdeğer Doz Hızı - Sv/h", O30*1.2,  O30))</f>
        <v>0</v>
      </c>
      <c r="Q30" s="34">
        <f>IF(P30="", "", IF(R30 ="m", P30/1000, IF(R30 ="μ", P30*1,  P30/1000000)))</f>
        <v>0</v>
      </c>
      <c r="R30" s="24" t="s">
        <v>26</v>
      </c>
      <c r="S30" s="35" t="str">
        <f>RIGHT($Z$14,2)</f>
        <v>Sv</v>
      </c>
      <c r="T30" s="26">
        <f>IF($Z$14 ="Işınlama Dozu - R", 5.4%, IF($Z$14 ="Ortam Eşdeğer Dozu - Sv", 6.7%, IF($Z$14 ="Hava Kerma - Gy", 5.4%, 6% )))</f>
        <v>6.7000000000000004E-2</v>
      </c>
      <c r="U30" s="27">
        <v>43</v>
      </c>
      <c r="V30" s="28">
        <v>43</v>
      </c>
      <c r="W30" s="28">
        <v>45</v>
      </c>
      <c r="X30" s="28">
        <v>43</v>
      </c>
      <c r="Y30" s="28">
        <v>45</v>
      </c>
      <c r="Z30" s="28">
        <v>43</v>
      </c>
      <c r="AA30" s="28">
        <v>44</v>
      </c>
      <c r="AB30" s="28">
        <v>43</v>
      </c>
      <c r="AC30" s="28">
        <v>43</v>
      </c>
      <c r="AD30" s="28">
        <v>43</v>
      </c>
      <c r="AE30" s="29">
        <f t="shared" ref="AE30:AE33" si="21">_xlfn.STDEV.S(U30:AD30)/SQRT(10)</f>
        <v>0.26874192494328497</v>
      </c>
      <c r="AF30" s="26">
        <f t="shared" ref="AF30:AF33" si="22">AE30/AG30</f>
        <v>6.1779752860525285E-3</v>
      </c>
      <c r="AG30" s="30">
        <f t="shared" ref="AG30:AG33" si="23">AVERAGE(U30:AD30)</f>
        <v>43.5</v>
      </c>
      <c r="AH30" s="31" t="str">
        <f>CONCATENATE(R30,RIGHT($Z$14,2))</f>
        <v>μSv</v>
      </c>
      <c r="AI30" s="32" t="e">
        <f>IF(AG30="","",(AG30-Q30)/Q30)</f>
        <v>#DIV/0!</v>
      </c>
      <c r="AJ30" s="26">
        <f t="shared" ref="AJ30:AJ33" si="24">SQRT((T30)^2+(AF30)^2)</f>
        <v>6.7284228305265398E-2</v>
      </c>
    </row>
    <row r="31" spans="2:36" ht="15.5" x14ac:dyDescent="0.35">
      <c r="G31" s="33">
        <v>60</v>
      </c>
      <c r="H31" s="21">
        <v>100</v>
      </c>
      <c r="I31" s="22" t="s">
        <v>13</v>
      </c>
      <c r="J31" s="22" t="s">
        <v>19</v>
      </c>
      <c r="K31" s="22" t="s">
        <v>19</v>
      </c>
      <c r="L31" s="22" t="s">
        <v>19</v>
      </c>
      <c r="M31" s="21">
        <v>0</v>
      </c>
      <c r="N31" s="21">
        <f t="shared" si="18"/>
        <v>257.91666666666663</v>
      </c>
      <c r="O31" s="21">
        <f t="shared" si="19"/>
        <v>0</v>
      </c>
      <c r="P31" s="6">
        <f t="shared" si="20"/>
        <v>0</v>
      </c>
      <c r="Q31" s="34">
        <f t="shared" ref="Q31:Q33" si="25">IF(P31="", "", IF(R31 ="m", P31/1000, IF(R31 ="μ", P31*1,  P31/1000000)))</f>
        <v>0</v>
      </c>
      <c r="R31" s="24" t="s">
        <v>26</v>
      </c>
      <c r="S31" s="35" t="str">
        <f t="shared" ref="S31:S33" si="26">RIGHT($Z$14,2)</f>
        <v>Sv</v>
      </c>
      <c r="T31" s="26">
        <f t="shared" ref="T31:T33" si="27">IF($Z$14 ="Işınlama Dozu - R", 5.4%, IF($Z$14 ="Ortam Eşdeğer Dozu - Sv", 6.7%, IF($Z$14 ="Hava Kerma - Gy", 5.4%, 6% )))</f>
        <v>6.7000000000000004E-2</v>
      </c>
      <c r="U31" s="27">
        <v>485</v>
      </c>
      <c r="V31" s="27">
        <v>485</v>
      </c>
      <c r="W31" s="27">
        <v>484</v>
      </c>
      <c r="X31" s="27">
        <v>486</v>
      </c>
      <c r="Y31" s="27">
        <v>485</v>
      </c>
      <c r="Z31" s="27">
        <v>485</v>
      </c>
      <c r="AA31" s="27">
        <v>485</v>
      </c>
      <c r="AB31" s="27">
        <v>485</v>
      </c>
      <c r="AC31" s="27">
        <v>485</v>
      </c>
      <c r="AD31" s="27">
        <v>485</v>
      </c>
      <c r="AE31" s="29">
        <f t="shared" si="21"/>
        <v>0.14907119849998596</v>
      </c>
      <c r="AF31" s="26">
        <f t="shared" si="22"/>
        <v>3.073632958762597E-4</v>
      </c>
      <c r="AG31" s="30">
        <f t="shared" si="23"/>
        <v>485</v>
      </c>
      <c r="AH31" s="31" t="str">
        <f t="shared" ref="AH31:AH33" si="28">CONCATENATE(R31,RIGHT($Z$14,2))</f>
        <v>μSv</v>
      </c>
      <c r="AI31" s="32" t="e">
        <f t="shared" ref="AI31:AI33" si="29">IF(AG31="","",(AG31-Q31)/Q31)</f>
        <v>#DIV/0!</v>
      </c>
      <c r="AJ31" s="26">
        <f t="shared" si="24"/>
        <v>6.7000705012676201E-2</v>
      </c>
    </row>
    <row r="32" spans="2:36" ht="15.5" x14ac:dyDescent="0.35">
      <c r="G32" s="33">
        <v>240</v>
      </c>
      <c r="H32" s="21">
        <v>100</v>
      </c>
      <c r="I32" s="22" t="s">
        <v>13</v>
      </c>
      <c r="J32" s="22" t="s">
        <v>19</v>
      </c>
      <c r="K32" s="22" t="s">
        <v>19</v>
      </c>
      <c r="L32" s="22" t="s">
        <v>19</v>
      </c>
      <c r="M32" s="21">
        <v>0</v>
      </c>
      <c r="N32" s="21">
        <f t="shared" si="18"/>
        <v>1031.6666666666665</v>
      </c>
      <c r="O32" s="21">
        <f t="shared" si="19"/>
        <v>0</v>
      </c>
      <c r="P32" s="6">
        <f t="shared" si="20"/>
        <v>0</v>
      </c>
      <c r="Q32" s="34">
        <f t="shared" si="25"/>
        <v>0</v>
      </c>
      <c r="R32" s="24" t="s">
        <v>26</v>
      </c>
      <c r="S32" s="35" t="str">
        <f t="shared" si="26"/>
        <v>Sv</v>
      </c>
      <c r="T32" s="26">
        <f t="shared" si="27"/>
        <v>6.7000000000000004E-2</v>
      </c>
      <c r="U32" s="27">
        <v>1101</v>
      </c>
      <c r="V32" s="27">
        <v>1101</v>
      </c>
      <c r="W32" s="27">
        <v>1102</v>
      </c>
      <c r="X32" s="27">
        <v>1101</v>
      </c>
      <c r="Y32" s="27">
        <v>1101</v>
      </c>
      <c r="Z32" s="27">
        <v>1101</v>
      </c>
      <c r="AA32" s="27">
        <v>1101</v>
      </c>
      <c r="AB32" s="27">
        <v>1101</v>
      </c>
      <c r="AC32" s="27">
        <v>1101</v>
      </c>
      <c r="AD32" s="27">
        <v>1101</v>
      </c>
      <c r="AE32" s="29">
        <f t="shared" si="21"/>
        <v>9.9999999999999992E-2</v>
      </c>
      <c r="AF32" s="26">
        <f t="shared" si="22"/>
        <v>9.0818272636454452E-5</v>
      </c>
      <c r="AG32" s="30">
        <f t="shared" si="23"/>
        <v>1101.0999999999999</v>
      </c>
      <c r="AH32" s="31" t="str">
        <f t="shared" si="28"/>
        <v>μSv</v>
      </c>
      <c r="AI32" s="32" t="e">
        <f t="shared" si="29"/>
        <v>#DIV/0!</v>
      </c>
      <c r="AJ32" s="26">
        <f t="shared" si="24"/>
        <v>6.7000061551901913E-2</v>
      </c>
    </row>
    <row r="33" spans="7:36" ht="15.5" x14ac:dyDescent="0.35">
      <c r="G33" s="33">
        <v>1260</v>
      </c>
      <c r="H33" s="44">
        <v>100</v>
      </c>
      <c r="I33" s="45" t="s">
        <v>13</v>
      </c>
      <c r="J33" s="45" t="s">
        <v>19</v>
      </c>
      <c r="K33" s="45" t="s">
        <v>19</v>
      </c>
      <c r="L33" s="45" t="s">
        <v>19</v>
      </c>
      <c r="M33" s="44">
        <v>0</v>
      </c>
      <c r="N33" s="44">
        <f t="shared" si="18"/>
        <v>5416.2499999999991</v>
      </c>
      <c r="O33" s="44">
        <f t="shared" si="19"/>
        <v>0</v>
      </c>
      <c r="P33" s="46">
        <f t="shared" si="20"/>
        <v>0</v>
      </c>
      <c r="Q33" s="34">
        <f t="shared" si="25"/>
        <v>0</v>
      </c>
      <c r="R33" s="24" t="s">
        <v>26</v>
      </c>
      <c r="S33" s="35" t="str">
        <f t="shared" si="26"/>
        <v>Sv</v>
      </c>
      <c r="T33" s="26">
        <f t="shared" si="27"/>
        <v>6.7000000000000004E-2</v>
      </c>
      <c r="U33" s="27">
        <v>5324</v>
      </c>
      <c r="V33" s="27">
        <v>5324</v>
      </c>
      <c r="W33" s="27">
        <v>5324</v>
      </c>
      <c r="X33" s="27">
        <v>5324</v>
      </c>
      <c r="Y33" s="27">
        <v>5324</v>
      </c>
      <c r="Z33" s="27">
        <v>5324</v>
      </c>
      <c r="AA33" s="27">
        <v>5324</v>
      </c>
      <c r="AB33" s="27">
        <v>5324</v>
      </c>
      <c r="AC33" s="27">
        <v>5324</v>
      </c>
      <c r="AD33" s="27">
        <v>5324</v>
      </c>
      <c r="AE33" s="29">
        <f t="shared" si="21"/>
        <v>0</v>
      </c>
      <c r="AF33" s="26">
        <f t="shared" si="22"/>
        <v>0</v>
      </c>
      <c r="AG33" s="30">
        <f t="shared" si="23"/>
        <v>5324</v>
      </c>
      <c r="AH33" s="31" t="str">
        <f t="shared" si="28"/>
        <v>μSv</v>
      </c>
      <c r="AI33" s="32" t="e">
        <f t="shared" si="29"/>
        <v>#DIV/0!</v>
      </c>
      <c r="AJ33" s="26">
        <f t="shared" si="24"/>
        <v>6.7000000000000004E-2</v>
      </c>
    </row>
    <row r="34" spans="7:36" ht="15.5" x14ac:dyDescent="0.35">
      <c r="H34" s="47"/>
      <c r="I34" s="48"/>
      <c r="J34" s="48"/>
      <c r="K34" s="48"/>
      <c r="L34" s="48"/>
      <c r="M34" s="47"/>
      <c r="N34" s="47"/>
      <c r="O34" s="47"/>
      <c r="P34" s="47"/>
    </row>
  </sheetData>
  <mergeCells count="7">
    <mergeCell ref="K2:AG2"/>
    <mergeCell ref="J3:AG3"/>
    <mergeCell ref="Q14:R14"/>
    <mergeCell ref="S14:V14"/>
    <mergeCell ref="R23:S23"/>
    <mergeCell ref="X14:Y14"/>
    <mergeCell ref="Z14:AC14"/>
  </mergeCells>
  <phoneticPr fontId="10" type="noConversion"/>
  <dataValidations count="5">
    <dataValidation type="list" allowBlank="1" showInputMessage="1" showErrorMessage="1" sqref="R24:R28 R30:R33">
      <formula1>$AR$9:$AR$11</formula1>
    </dataValidation>
    <dataValidation type="list" allowBlank="1" showErrorMessage="1" prompt="_x000a_" sqref="I24:L28 I30:L34">
      <formula1>I.Disk</formula1>
    </dataValidation>
    <dataValidation errorStyle="warning" allowBlank="1" showInputMessage="1" showErrorMessage="1" errorTitle="Uygun olmayan aralık" sqref="T9"/>
    <dataValidation type="list" allowBlank="1" showInputMessage="1" showErrorMessage="1" sqref="S14:V14">
      <formula1>$AQ$9:$AQ$11</formula1>
    </dataValidation>
    <dataValidation type="list" allowBlank="1" showInputMessage="1" showErrorMessage="1" sqref="Z14:AC14">
      <formula1>$AS$9:$AS$11</formula1>
    </dataValidation>
  </dataValidation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74C659-41EE-42D7-A878-A377E18631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Ongun</dc:creator>
  <cp:lastModifiedBy>TRKD</cp:lastModifiedBy>
  <dcterms:created xsi:type="dcterms:W3CDTF">2023-08-16T05:48:46Z</dcterms:created>
  <dcterms:modified xsi:type="dcterms:W3CDTF">2024-04-09T13:09:51Z</dcterms:modified>
</cp:coreProperties>
</file>